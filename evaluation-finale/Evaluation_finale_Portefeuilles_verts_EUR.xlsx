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OUFARASSE\Downloads\Evaluation_finale_Portefeuilles_verts_Package\"/>
    </mc:Choice>
  </mc:AlternateContent>
  <xr:revisionPtr revIDLastSave="0" documentId="8_{521E20FA-B761-4BF9-9FAA-ABE0A25B2D79}" xr6:coauthVersionLast="47" xr6:coauthVersionMax="47" xr10:uidLastSave="{00000000-0000-0000-0000-000000000000}"/>
  <bookViews>
    <workbookView xWindow="58890" yWindow="1900" windowWidth="27630" windowHeight="16420" xr2:uid="{00000000-000D-0000-FFFF-FFFF00000000}"/>
  </bookViews>
  <sheets>
    <sheet name="Tableau de bord" sheetId="1" r:id="rId1"/>
    <sheet name="Projets" sheetId="2" r:id="rId2"/>
    <sheet name="Portefeuilles" sheetId="3" r:id="rId3"/>
    <sheet name="Sensibilite" sheetId="4" r:id="rId4"/>
    <sheet name="Guide de lecture" sheetId="5" r:id="rId5"/>
  </sheets>
  <calcPr calcId="0"/>
</workbook>
</file>

<file path=xl/sharedStrings.xml><?xml version="1.0" encoding="utf-8"?>
<sst xmlns="http://schemas.openxmlformats.org/spreadsheetml/2006/main" count="535" uniqueCount="189">
  <si>
    <t>Évaluation finale - Analyse des portefeuilles verts</t>
  </si>
  <si>
    <t>Tous les calculs sont finalisés. Les étudiants utilisent les résultats pour choisir un portefeuille et argumenter leur note de synthèse.</t>
  </si>
  <si>
    <t>Hypothèses communes</t>
  </si>
  <si>
    <t>Taux pédagogique</t>
  </si>
  <si>
    <t>10.80 MAD pour 1 EUR</t>
  </si>
  <si>
    <t>Budget maximal</t>
  </si>
  <si>
    <t>Stress appliqué à B et C</t>
  </si>
  <si>
    <t>Cible carbone</t>
  </si>
  <si>
    <t>900 tCO2e/an</t>
  </si>
  <si>
    <t>Cible eau</t>
  </si>
  <si>
    <t>50 milliers m3/an</t>
  </si>
  <si>
    <t>Dépendance</t>
  </si>
  <si>
    <t>C exige D</t>
  </si>
  <si>
    <t>Nature des données</t>
  </si>
  <si>
    <t>Cas pédagogique synthétique</t>
  </si>
  <si>
    <t>Monnaie</t>
  </si>
  <si>
    <t>Euro</t>
  </si>
  <si>
    <t>Horizon</t>
  </si>
  <si>
    <t>Identique pour toutes les VAN</t>
  </si>
  <si>
    <t>Portefeuilles satisfaisant toutes les contraintes</t>
  </si>
  <si>
    <t>Rang financier</t>
  </si>
  <si>
    <t>Portefeuille</t>
  </si>
  <si>
    <t>CAPEX</t>
  </si>
  <si>
    <t>VAN centrale</t>
  </si>
  <si>
    <t>VAN stressée</t>
  </si>
  <si>
    <t>Carbone</t>
  </si>
  <si>
    <t>Eau</t>
  </si>
  <si>
    <t>Risque dominant</t>
  </si>
  <si>
    <t>A + B + C + D</t>
  </si>
  <si>
    <t>Élevé</t>
  </si>
  <si>
    <t>B + C + D + E</t>
  </si>
  <si>
    <t>B + C + D + F</t>
  </si>
  <si>
    <t>Indicateurs utiles pour argumenter</t>
  </si>
  <si>
    <t>Indicateur</t>
  </si>
  <si>
    <t>Valeur</t>
  </si>
  <si>
    <t>Lecture</t>
  </si>
  <si>
    <t>Utilisation dans la note</t>
  </si>
  <si>
    <t>VAN maximale admissible</t>
  </si>
  <si>
    <t>Valeur financière la plus élevée parmi les portefeuilles conformes</t>
  </si>
  <si>
    <t>Justifier le choix financier</t>
  </si>
  <si>
    <t>Écart avec la meilleure alternative</t>
  </si>
  <si>
    <t>Valeur abandonnée si l’alternative est choisie</t>
  </si>
  <si>
    <t>Discuter le coût d’opportunité</t>
  </si>
  <si>
    <t>Marge budgétaire</t>
  </si>
  <si>
    <t>Budget non mobilisé par le portefeuille classé premier</t>
  </si>
  <si>
    <t>Apprécier la flexibilité restante</t>
  </si>
  <si>
    <t>Baisse de VAN sous stress</t>
  </si>
  <si>
    <t>Effet d’une baisse de 30 % des VAN de B et C</t>
  </si>
  <si>
    <t>Discuter le risque</t>
  </si>
  <si>
    <t>Classement après stress</t>
  </si>
  <si>
    <t>Inchangé</t>
  </si>
  <si>
    <t>Les trois portefeuilles conservent le même ordre</t>
  </si>
  <si>
    <t>Évaluer la robustesse</t>
  </si>
  <si>
    <t>Fiches financières et environnementales des projets</t>
  </si>
  <si>
    <t>Montants convertis au taux pédagogique fixe de 10,80 MAD pour 1 EUR. Aucun recalcul n’est demandé.</t>
  </si>
  <si>
    <t>ID</t>
  </si>
  <si>
    <t>Projet</t>
  </si>
  <si>
    <t>VAN/CAPEX</t>
  </si>
  <si>
    <t>Risque</t>
  </si>
  <si>
    <t>Condition principale</t>
  </si>
  <si>
    <t>A</t>
  </si>
  <si>
    <t>Efficacité énergétique</t>
  </si>
  <si>
    <t>Moyen</t>
  </si>
  <si>
    <t>Audit technique et arrêt programmé</t>
  </si>
  <si>
    <t>B</t>
  </si>
  <si>
    <t>Solaire en toiture</t>
  </si>
  <si>
    <t>Permis et raccordement</t>
  </si>
  <si>
    <t>C</t>
  </si>
  <si>
    <t>Réutilisation de l’eau</t>
  </si>
  <si>
    <t>Nécessite le projet D</t>
  </si>
  <si>
    <t>D</t>
  </si>
  <si>
    <t>Pilotage numérique</t>
  </si>
  <si>
    <t>Faible</t>
  </si>
  <si>
    <t>Formation et qualité des données</t>
  </si>
  <si>
    <t>E</t>
  </si>
  <si>
    <t>Circularité des matières</t>
  </si>
  <si>
    <t>Contrats fournisseurs</t>
  </si>
  <si>
    <t>F</t>
  </si>
  <si>
    <t>Flotte électrique</t>
  </si>
  <si>
    <t>Bornes et taux d’utilisation</t>
  </si>
  <si>
    <t>Calcul exhaustif des portefeuilles</t>
  </si>
  <si>
    <t>Les 63 combinaisons non vides sont calculées. Le tableau indique séparément chaque contrainte et le statut final.</t>
  </si>
  <si>
    <t>VAN</t>
  </si>
  <si>
    <t>Budget</t>
  </si>
  <si>
    <t>Carbone cible</t>
  </si>
  <si>
    <t>Eau cible</t>
  </si>
  <si>
    <t>Dépendance C-D</t>
  </si>
  <si>
    <t>Statut</t>
  </si>
  <si>
    <t>Rang VAN</t>
  </si>
  <si>
    <t>Écart au meilleur</t>
  </si>
  <si>
    <t>Oui</t>
  </si>
  <si>
    <t>Admissible</t>
  </si>
  <si>
    <t>A + B + C + D + E + F</t>
  </si>
  <si>
    <t>Non</t>
  </si>
  <si>
    <t>Non admissible</t>
  </si>
  <si>
    <t>A + B + C + E + F</t>
  </si>
  <si>
    <t>A + B + C + D + E</t>
  </si>
  <si>
    <t>A + B + D + E + F</t>
  </si>
  <si>
    <t>A + B + C + D + F</t>
  </si>
  <si>
    <t>B + C + D + E + F</t>
  </si>
  <si>
    <t>A + B + C + E</t>
  </si>
  <si>
    <t>A + B + E + F</t>
  </si>
  <si>
    <t>A + C + D + E + F</t>
  </si>
  <si>
    <t>A + B + C + F</t>
  </si>
  <si>
    <t>A + B + D + E</t>
  </si>
  <si>
    <t>B + C + E + F</t>
  </si>
  <si>
    <t>A + B + D + F</t>
  </si>
  <si>
    <t>B + D + E + F</t>
  </si>
  <si>
    <t>A + C + E + F</t>
  </si>
  <si>
    <t>A + B + E</t>
  </si>
  <si>
    <t>A + C + D + E</t>
  </si>
  <si>
    <t>A + B + C</t>
  </si>
  <si>
    <t>A + D + E + F</t>
  </si>
  <si>
    <t>B + C + E</t>
  </si>
  <si>
    <t>A + B + F</t>
  </si>
  <si>
    <t>A + C + D + F</t>
  </si>
  <si>
    <t>B + E + F</t>
  </si>
  <si>
    <t>C + D + E + F</t>
  </si>
  <si>
    <t>A + B + D</t>
  </si>
  <si>
    <t>B + C + F</t>
  </si>
  <si>
    <t>B + D + E</t>
  </si>
  <si>
    <t>A + C + E</t>
  </si>
  <si>
    <t>B + C + D</t>
  </si>
  <si>
    <t>A + E + F</t>
  </si>
  <si>
    <t>B + D + F</t>
  </si>
  <si>
    <t>A + C + F</t>
  </si>
  <si>
    <t>A + D + E</t>
  </si>
  <si>
    <t>C + E + F</t>
  </si>
  <si>
    <t>A + B</t>
  </si>
  <si>
    <t>A + C + D</t>
  </si>
  <si>
    <t>B + E</t>
  </si>
  <si>
    <t>C + D + E</t>
  </si>
  <si>
    <t>A + D + F</t>
  </si>
  <si>
    <t>B + C</t>
  </si>
  <si>
    <t>D + E + F</t>
  </si>
  <si>
    <t>B + F</t>
  </si>
  <si>
    <t>C + D + F</t>
  </si>
  <si>
    <t>A + E</t>
  </si>
  <si>
    <t>B + D</t>
  </si>
  <si>
    <t>A + C</t>
  </si>
  <si>
    <t>C + E</t>
  </si>
  <si>
    <t>A + F</t>
  </si>
  <si>
    <t>E + F</t>
  </si>
  <si>
    <t>A + D</t>
  </si>
  <si>
    <t>C + F</t>
  </si>
  <si>
    <t>D + E</t>
  </si>
  <si>
    <t>C + D</t>
  </si>
  <si>
    <t>D + F</t>
  </si>
  <si>
    <t>Analyse de sensibilité finalisée</t>
  </si>
  <si>
    <t>Hypothèse : baisse simultanée de 30 % des VAN des projets B et C. Les impacts carbone et eau restent inchangés.</t>
  </si>
  <si>
    <t>Rang central</t>
  </si>
  <si>
    <t>Perte de VAN</t>
  </si>
  <si>
    <t>Variation</t>
  </si>
  <si>
    <t>Rang stressé</t>
  </si>
  <si>
    <t>Décision</t>
  </si>
  <si>
    <t>Classement inchangé</t>
  </si>
  <si>
    <t>Seuil de bascule entre les deux premiers portefeuilles</t>
  </si>
  <si>
    <t>Élément</t>
  </si>
  <si>
    <t>Interprétation</t>
  </si>
  <si>
    <t>Conséquence</t>
  </si>
  <si>
    <t>Écart central</t>
  </si>
  <si>
    <t>Avantage de A+B+C+D sur B+C+D+E</t>
  </si>
  <si>
    <t>Faible marge de décision</t>
  </si>
  <si>
    <t>Écart sous stress</t>
  </si>
  <si>
    <t>Le stress commun sur B et C s’annule dans la comparaison</t>
  </si>
  <si>
    <t>Facteur décisif</t>
  </si>
  <si>
    <t>Projet A contre projet E</t>
  </si>
  <si>
    <t>Les deux portefeuilles partagent B, C et D</t>
  </si>
  <si>
    <t>Surveiller la performance relative de A et E</t>
  </si>
  <si>
    <t>Guide de lecture pour la note de synthèse</t>
  </si>
  <si>
    <t>Le fichier fournit les résultats. Le travail attendu consiste à choisir, comparer, interpréter et argumenter.</t>
  </si>
  <si>
    <t>Structure recommandée de la note</t>
  </si>
  <si>
    <t>1. Décision proposée</t>
  </si>
  <si>
    <t>Nommer le portefeuille retenu et annoncer ses résultats financiers et environnementaux.</t>
  </si>
  <si>
    <t>2. Respect des contraintes</t>
  </si>
  <si>
    <t>Vérifier budget, carbone, eau et dépendance C-D à partir des tableaux fournis.</t>
  </si>
  <si>
    <t>3. Comparaison</t>
  </si>
  <si>
    <t>Présenter la meilleure alternative et mesurer le coût d’opportunité.</t>
  </si>
  <si>
    <t>4. Risques</t>
  </si>
  <si>
    <t>Commenter le scénario stressé et la faible différence entre les deux premiers portefeuilles.</t>
  </si>
  <si>
    <t>5. Mise en œuvre</t>
  </si>
  <si>
    <t>Proposer des conditions de lancement et trois indicateurs de suivi.</t>
  </si>
  <si>
    <t>6. Conclusion</t>
  </si>
  <si>
    <t>Formuler une décision claire, argumentée et révisable.</t>
  </si>
  <si>
    <t>Précautions d’interprétation</t>
  </si>
  <si>
    <t>- Une VAN élevée ne dispense pas de vérifier les contraintes environnementales et techniques.</t>
  </si>
  <si>
    <t>- Le ratio VAN/CAPEX est un indicateur complémentaire et non une règle unique de sélection.</t>
  </si>
  <si>
    <t>- Le stress porte sur B et C; il ne couvre pas tous les risques possibles.</t>
  </si>
  <si>
    <t>- Les données sont synthétiques et le taux de change est une convention pédagogique fixe.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</si>
</sst>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"/>
    <numFmt numFmtId="165" formatCode="0.0%"/>
    <numFmt numFmtId="166" formatCode="#,##0\ &quot;tCO2e/an&quot;"/>
    <numFmt numFmtId="167" formatCode="#,##0\ &quot;milliers m3/an&quot;"/>
  </numFmts>
  <fonts count="8">
    <font>
      <sz val="11"/>
      <name val="Carlito"/>
    </font>
    <font>
      <sz val="10"/>
      <color rgb="FF1F1F1F"/>
      <name val="Times New Roman"/>
      <family val="1"/>
    </font>
    <font>
      <sz val="11"/>
      <name val="Times New Roman"/>
      <family val="1"/>
    </font>
    <font>
      <b/>
      <sz val="16"/>
      <color rgb="FF000000"/>
      <name val="Times New Roman"/>
      <family val="1"/>
    </font>
    <font>
      <i/>
      <sz val="10"/>
      <color rgb="FF666666"/>
      <name val="Times New Roman"/>
      <family val="1"/>
    </font>
    <font>
      <b/>
      <sz val="10"/>
      <color rgb="FF1F1F1F"/>
      <name val="Times New Roman"/>
      <family val="1"/>
    </font>
    <font>
      <b/>
      <sz val="10"/>
      <color rgb="FF7030A0"/>
      <name val="Times New Roman"/>
      <family val="1"/>
    </font>
    <font>
      <b/>
      <sz val="12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E2F0D9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6" fontId="1" fillId="3" borderId="1" xfId="0" applyNumberFormat="1" applyFont="1" applyFill="1" applyBorder="1" applyAlignment="1">
      <alignment vertical="center"/>
    </xf>
    <xf numFmtId="167" fontId="1" fillId="3" borderId="1" xfId="0" applyNumberFormat="1" applyFont="1" applyFill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7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6" fillId="4" borderId="0" xfId="0" applyFont="1" applyFill="1" applyAlignment="1">
      <alignment vertical="center"/>
    </xf>
    <xf numFmtId="0" fontId="1" fillId="0" borderId="0" xfId="0" applyFont="1"/>
    <xf numFmtId="0" fontId="7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en-US"/>
              <a:t>VAN centrale des portefeuilles admissibles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VAN centrale</c:v>
          </c:tx>
          <c:invertIfNegative val="1"/>
          <c:cat>
            <c:strRef>
              <c:f>'Tableau de bord'!$C$14:$C$16</c:f>
              <c:strCache>
                <c:ptCount val="3"/>
                <c:pt idx="0">
                  <c:v>A + B + C + D</c:v>
                </c:pt>
                <c:pt idx="1">
                  <c:v>B + C + D + E</c:v>
                </c:pt>
                <c:pt idx="2">
                  <c:v>B + C + D + F</c:v>
                </c:pt>
              </c:strCache>
            </c:strRef>
          </c:cat>
          <c:val>
            <c:numRef>
              <c:f>'Tableau de bord'!$E$14:$E$16</c:f>
              <c:numCache>
                <c:formatCode>#\ ##0\ "€"</c:formatCode>
                <c:ptCount val="3"/>
                <c:pt idx="0">
                  <c:v>90740.74074074073</c:v>
                </c:pt>
                <c:pt idx="1">
                  <c:v>88888.888888888876</c:v>
                </c:pt>
                <c:pt idx="2">
                  <c:v>83333.333333333328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F-4D0B-A143-95AA0FE62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\ &quot;€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598714</xdr:colOff>
      <xdr:row>19</xdr:row>
      <xdr:rowOff>145143</xdr:rowOff>
    </xdr:from>
    <xdr:to>
      <xdr:col>11</xdr:col>
      <xdr:colOff>0</xdr:colOff>
      <xdr:row>37</xdr:row>
      <xdr:rowOff>54429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Q100"/>
  <sheetViews>
    <sheetView showGridLines="0" tabSelected="1" zoomScale="70" zoomScaleNormal="70" workbookViewId="0">
      <selection activeCell="B21" activeCellId="4" sqref="B5:N5 B11:N11 B13:I13 B19:N19 B21:E21"/>
    </sheetView>
  </sheetViews>
  <sheetFormatPr baseColWidth="10" defaultColWidth="8.6640625" defaultRowHeight="14"/>
  <cols>
    <col min="1" max="1" width="8.6640625" style="2"/>
    <col min="2" max="2" width="21" style="2" customWidth="1"/>
    <col min="3" max="3" width="24" style="2" customWidth="1"/>
    <col min="4" max="6" width="18" style="2" customWidth="1"/>
    <col min="7" max="8" width="17" style="2" customWidth="1"/>
    <col min="9" max="9" width="18" style="2" customWidth="1"/>
    <col min="10" max="14" width="12" style="2" customWidth="1"/>
    <col min="15" max="16384" width="8.6640625" style="2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" customHeight="1">
      <c r="A2" s="1"/>
      <c r="B2" s="16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"/>
      <c r="P2" s="1"/>
      <c r="Q2" s="1"/>
    </row>
    <row r="3" spans="1:17">
      <c r="A3" s="1"/>
      <c r="B3" s="17" t="s">
        <v>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2" customHeight="1">
      <c r="A5" s="1"/>
      <c r="B5" s="20" t="s">
        <v>2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1"/>
      <c r="P5" s="1"/>
      <c r="Q5" s="1"/>
    </row>
    <row r="6" spans="1:17">
      <c r="A6" s="1"/>
      <c r="B6" s="3" t="s">
        <v>3</v>
      </c>
      <c r="C6" s="4" t="s">
        <v>4</v>
      </c>
      <c r="D6" s="3" t="s">
        <v>5</v>
      </c>
      <c r="E6" s="5">
        <v>388888.88888888888</v>
      </c>
      <c r="F6" s="3" t="s">
        <v>6</v>
      </c>
      <c r="G6" s="6">
        <v>0.3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1"/>
      <c r="B7" s="3" t="s">
        <v>7</v>
      </c>
      <c r="C7" s="4" t="s">
        <v>8</v>
      </c>
      <c r="D7" s="3" t="s">
        <v>9</v>
      </c>
      <c r="E7" s="4" t="s">
        <v>10</v>
      </c>
      <c r="F7" s="3" t="s">
        <v>11</v>
      </c>
      <c r="G7" s="4" t="s">
        <v>12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"/>
      <c r="B8" s="3" t="s">
        <v>13</v>
      </c>
      <c r="C8" s="4" t="s">
        <v>14</v>
      </c>
      <c r="D8" s="3" t="s">
        <v>15</v>
      </c>
      <c r="E8" s="4" t="s">
        <v>16</v>
      </c>
      <c r="F8" s="3" t="s">
        <v>17</v>
      </c>
      <c r="G8" s="4" t="s">
        <v>18</v>
      </c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2" customHeight="1">
      <c r="A11" s="1"/>
      <c r="B11" s="21" t="s">
        <v>19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</row>
    <row r="12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8" customHeight="1">
      <c r="A13" s="1"/>
      <c r="B13" s="22" t="s">
        <v>20</v>
      </c>
      <c r="C13" s="22" t="s">
        <v>21</v>
      </c>
      <c r="D13" s="22" t="s">
        <v>22</v>
      </c>
      <c r="E13" s="22" t="s">
        <v>23</v>
      </c>
      <c r="F13" s="22" t="s">
        <v>24</v>
      </c>
      <c r="G13" s="22" t="s">
        <v>25</v>
      </c>
      <c r="H13" s="22" t="s">
        <v>26</v>
      </c>
      <c r="I13" s="22" t="s">
        <v>27</v>
      </c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7">
        <v>1</v>
      </c>
      <c r="C14" s="7" t="s">
        <v>28</v>
      </c>
      <c r="D14" s="8">
        <v>361111.11111111107</v>
      </c>
      <c r="E14" s="8">
        <v>90740.74074074073</v>
      </c>
      <c r="F14" s="8">
        <v>74629.62962962962</v>
      </c>
      <c r="G14" s="9">
        <v>1210</v>
      </c>
      <c r="H14" s="10">
        <v>68</v>
      </c>
      <c r="I14" s="7" t="s">
        <v>29</v>
      </c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4">
        <v>2</v>
      </c>
      <c r="C15" s="4" t="s">
        <v>30</v>
      </c>
      <c r="D15" s="5">
        <v>370370.37037037034</v>
      </c>
      <c r="E15" s="5">
        <v>88888.888888888876</v>
      </c>
      <c r="F15" s="5">
        <v>72777.777777777766</v>
      </c>
      <c r="G15" s="11">
        <v>1140</v>
      </c>
      <c r="H15" s="12">
        <v>73</v>
      </c>
      <c r="I15" s="4" t="s">
        <v>29</v>
      </c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4">
        <v>3</v>
      </c>
      <c r="C16" s="4" t="s">
        <v>31</v>
      </c>
      <c r="D16" s="5">
        <v>388888.88888888888</v>
      </c>
      <c r="E16" s="5">
        <v>83333.333333333328</v>
      </c>
      <c r="F16" s="5">
        <v>67222.222222222219</v>
      </c>
      <c r="G16" s="11">
        <v>1260</v>
      </c>
      <c r="H16" s="12">
        <v>63</v>
      </c>
      <c r="I16" s="4" t="s">
        <v>29</v>
      </c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2" customHeight="1">
      <c r="A19" s="1"/>
      <c r="B19" s="21" t="s">
        <v>32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"/>
      <c r="P19" s="1"/>
      <c r="Q19" s="1"/>
    </row>
    <row r="20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8" customHeight="1">
      <c r="A21" s="1"/>
      <c r="B21" s="22" t="s">
        <v>33</v>
      </c>
      <c r="C21" s="22" t="s">
        <v>34</v>
      </c>
      <c r="D21" s="22" t="s">
        <v>35</v>
      </c>
      <c r="E21" s="22" t="s">
        <v>36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39">
      <c r="A22" s="1"/>
      <c r="B22" s="4" t="s">
        <v>37</v>
      </c>
      <c r="C22" s="5">
        <v>90740.74074074073</v>
      </c>
      <c r="D22" s="13" t="s">
        <v>38</v>
      </c>
      <c r="E22" s="13" t="s">
        <v>39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6">
      <c r="A23" s="1"/>
      <c r="B23" s="4" t="s">
        <v>40</v>
      </c>
      <c r="C23" s="5">
        <v>1851.8518518518517</v>
      </c>
      <c r="D23" s="13" t="s">
        <v>41</v>
      </c>
      <c r="E23" s="13" t="s">
        <v>42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39">
      <c r="A24" s="1"/>
      <c r="B24" s="4" t="s">
        <v>43</v>
      </c>
      <c r="C24" s="5">
        <v>27777.777777777777</v>
      </c>
      <c r="D24" s="13" t="s">
        <v>44</v>
      </c>
      <c r="E24" s="13" t="s">
        <v>45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6">
      <c r="A25" s="1"/>
      <c r="B25" s="4" t="s">
        <v>46</v>
      </c>
      <c r="C25" s="5">
        <v>16111.111111111109</v>
      </c>
      <c r="D25" s="13" t="s">
        <v>47</v>
      </c>
      <c r="E25" s="13" t="s">
        <v>48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6">
      <c r="A26" s="1"/>
      <c r="B26" s="4" t="s">
        <v>49</v>
      </c>
      <c r="C26" s="4" t="s">
        <v>50</v>
      </c>
      <c r="D26" s="13" t="s">
        <v>51</v>
      </c>
      <c r="E26" s="13" t="s">
        <v>52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5">
    <mergeCell ref="B2:N2"/>
    <mergeCell ref="B3:N3"/>
    <mergeCell ref="B5:N5"/>
    <mergeCell ref="B11:N11"/>
    <mergeCell ref="B19:N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Q100"/>
  <sheetViews>
    <sheetView showGridLines="0" workbookViewId="0">
      <pane ySplit="5" topLeftCell="A6" activePane="bottomLeft" state="frozen"/>
      <selection pane="bottomLeft" activeCell="D24" sqref="A1:XFD1048576"/>
    </sheetView>
  </sheetViews>
  <sheetFormatPr baseColWidth="10" defaultColWidth="8.6640625" defaultRowHeight="14"/>
  <cols>
    <col min="1" max="1" width="8.6640625" style="2"/>
    <col min="2" max="2" width="7" style="2" customWidth="1"/>
    <col min="3" max="3" width="28" style="2" customWidth="1"/>
    <col min="4" max="9" width="17" style="2" customWidth="1"/>
    <col min="10" max="10" width="13" style="2" customWidth="1"/>
    <col min="11" max="11" width="34" style="2" customWidth="1"/>
    <col min="12" max="16384" width="8.6640625" style="2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" customHeight="1">
      <c r="A2" s="1"/>
      <c r="B2" s="16" t="s">
        <v>53</v>
      </c>
      <c r="C2" s="16"/>
      <c r="D2" s="16"/>
      <c r="E2" s="16"/>
      <c r="F2" s="16"/>
      <c r="G2" s="16"/>
      <c r="H2" s="16"/>
      <c r="I2" s="16"/>
      <c r="J2" s="16"/>
      <c r="K2" s="16"/>
      <c r="L2" s="1"/>
      <c r="M2" s="1"/>
      <c r="N2" s="1"/>
      <c r="O2" s="1"/>
      <c r="P2" s="1"/>
      <c r="Q2" s="1"/>
    </row>
    <row r="3" spans="1:17">
      <c r="A3" s="1"/>
      <c r="B3" s="17" t="s">
        <v>54</v>
      </c>
      <c r="C3" s="17"/>
      <c r="D3" s="17"/>
      <c r="E3" s="17"/>
      <c r="F3" s="17"/>
      <c r="G3" s="17"/>
      <c r="H3" s="17"/>
      <c r="I3" s="17"/>
      <c r="J3" s="17"/>
      <c r="K3" s="17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8" customHeight="1">
      <c r="A5" s="1"/>
      <c r="B5" s="14" t="s">
        <v>55</v>
      </c>
      <c r="C5" s="14" t="s">
        <v>56</v>
      </c>
      <c r="D5" s="14" t="s">
        <v>22</v>
      </c>
      <c r="E5" s="14" t="s">
        <v>23</v>
      </c>
      <c r="F5" s="14" t="s">
        <v>24</v>
      </c>
      <c r="G5" s="14" t="s">
        <v>57</v>
      </c>
      <c r="H5" s="14" t="s">
        <v>25</v>
      </c>
      <c r="I5" s="14" t="s">
        <v>26</v>
      </c>
      <c r="J5" s="14" t="s">
        <v>58</v>
      </c>
      <c r="K5" s="14" t="s">
        <v>59</v>
      </c>
      <c r="L5" s="1"/>
      <c r="M5" s="1"/>
      <c r="N5" s="1"/>
      <c r="O5" s="1"/>
      <c r="P5" s="1"/>
      <c r="Q5" s="1"/>
    </row>
    <row r="6" spans="1:17">
      <c r="A6" s="1"/>
      <c r="B6" s="4" t="s">
        <v>60</v>
      </c>
      <c r="C6" s="4" t="s">
        <v>61</v>
      </c>
      <c r="D6" s="5">
        <v>74074.074074074073</v>
      </c>
      <c r="E6" s="5">
        <v>24074.074074074073</v>
      </c>
      <c r="F6" s="5">
        <v>24074.074074074073</v>
      </c>
      <c r="G6" s="6">
        <v>0.32500000000000001</v>
      </c>
      <c r="H6" s="11">
        <v>350</v>
      </c>
      <c r="I6" s="12">
        <v>5</v>
      </c>
      <c r="J6" s="4" t="s">
        <v>62</v>
      </c>
      <c r="K6" s="13" t="s">
        <v>63</v>
      </c>
      <c r="L6" s="1"/>
      <c r="M6" s="1"/>
      <c r="N6" s="1"/>
      <c r="O6" s="1"/>
      <c r="P6" s="1"/>
      <c r="Q6" s="1"/>
    </row>
    <row r="7" spans="1:17">
      <c r="A7" s="1"/>
      <c r="B7" s="4" t="s">
        <v>64</v>
      </c>
      <c r="C7" s="4" t="s">
        <v>65</v>
      </c>
      <c r="D7" s="5">
        <v>129629.62962962962</v>
      </c>
      <c r="E7" s="5">
        <v>33333.333333333328</v>
      </c>
      <c r="F7" s="5">
        <v>23333.333333333328</v>
      </c>
      <c r="G7" s="6">
        <v>0.25714285714285712</v>
      </c>
      <c r="H7" s="11">
        <v>720</v>
      </c>
      <c r="I7" s="12">
        <v>0</v>
      </c>
      <c r="J7" s="4" t="s">
        <v>62</v>
      </c>
      <c r="K7" s="13" t="s">
        <v>66</v>
      </c>
      <c r="L7" s="1"/>
      <c r="M7" s="1"/>
      <c r="N7" s="1"/>
      <c r="O7" s="1"/>
      <c r="P7" s="1"/>
      <c r="Q7" s="1"/>
    </row>
    <row r="8" spans="1:17">
      <c r="A8" s="1"/>
      <c r="B8" s="4" t="s">
        <v>67</v>
      </c>
      <c r="C8" s="4" t="s">
        <v>68</v>
      </c>
      <c r="D8" s="5">
        <v>111111.11111111111</v>
      </c>
      <c r="E8" s="5">
        <v>20370.370370370369</v>
      </c>
      <c r="F8" s="5">
        <v>14259.259259259259</v>
      </c>
      <c r="G8" s="6">
        <v>0.18333333333333332</v>
      </c>
      <c r="H8" s="11">
        <v>60</v>
      </c>
      <c r="I8" s="12">
        <v>55</v>
      </c>
      <c r="J8" s="4" t="s">
        <v>29</v>
      </c>
      <c r="K8" s="13" t="s">
        <v>69</v>
      </c>
      <c r="L8" s="1"/>
      <c r="M8" s="1"/>
      <c r="N8" s="1"/>
      <c r="O8" s="1"/>
      <c r="P8" s="1"/>
      <c r="Q8" s="1"/>
    </row>
    <row r="9" spans="1:17">
      <c r="A9" s="1"/>
      <c r="B9" s="4" t="s">
        <v>70</v>
      </c>
      <c r="C9" s="4" t="s">
        <v>71</v>
      </c>
      <c r="D9" s="5">
        <v>46296.296296296292</v>
      </c>
      <c r="E9" s="5">
        <v>12962.962962962962</v>
      </c>
      <c r="F9" s="5">
        <v>12962.962962962962</v>
      </c>
      <c r="G9" s="6">
        <v>0.28000000000000003</v>
      </c>
      <c r="H9" s="11">
        <v>80</v>
      </c>
      <c r="I9" s="12">
        <v>8</v>
      </c>
      <c r="J9" s="4" t="s">
        <v>72</v>
      </c>
      <c r="K9" s="13" t="s">
        <v>73</v>
      </c>
      <c r="L9" s="1"/>
      <c r="M9" s="1"/>
      <c r="N9" s="1"/>
      <c r="O9" s="1"/>
      <c r="P9" s="1"/>
      <c r="Q9" s="1"/>
    </row>
    <row r="10" spans="1:17">
      <c r="A10" s="1"/>
      <c r="B10" s="4" t="s">
        <v>74</v>
      </c>
      <c r="C10" s="4" t="s">
        <v>75</v>
      </c>
      <c r="D10" s="5">
        <v>83333.333333333328</v>
      </c>
      <c r="E10" s="5">
        <v>22222.222222222219</v>
      </c>
      <c r="F10" s="5">
        <v>22222.222222222219</v>
      </c>
      <c r="G10" s="6">
        <v>0.26666666666666666</v>
      </c>
      <c r="H10" s="11">
        <v>280</v>
      </c>
      <c r="I10" s="12">
        <v>10</v>
      </c>
      <c r="J10" s="4" t="s">
        <v>62</v>
      </c>
      <c r="K10" s="13" t="s">
        <v>76</v>
      </c>
      <c r="L10" s="1"/>
      <c r="M10" s="1"/>
      <c r="N10" s="1"/>
      <c r="O10" s="1"/>
      <c r="P10" s="1"/>
      <c r="Q10" s="1"/>
    </row>
    <row r="11" spans="1:17">
      <c r="A11" s="1"/>
      <c r="B11" s="4" t="s">
        <v>77</v>
      </c>
      <c r="C11" s="4" t="s">
        <v>78</v>
      </c>
      <c r="D11" s="5">
        <v>101851.85185185184</v>
      </c>
      <c r="E11" s="5">
        <v>16666.666666666664</v>
      </c>
      <c r="F11" s="5">
        <v>16666.666666666664</v>
      </c>
      <c r="G11" s="6">
        <v>0.16363636363636364</v>
      </c>
      <c r="H11" s="11">
        <v>400</v>
      </c>
      <c r="I11" s="12">
        <v>0</v>
      </c>
      <c r="J11" s="4" t="s">
        <v>62</v>
      </c>
      <c r="K11" s="13" t="s">
        <v>79</v>
      </c>
      <c r="L11" s="1"/>
      <c r="M11" s="1"/>
      <c r="N11" s="1"/>
      <c r="O11" s="1"/>
      <c r="P11" s="1"/>
      <c r="Q11" s="1"/>
    </row>
    <row r="12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2">
    <mergeCell ref="B2:K2"/>
    <mergeCell ref="B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Q100"/>
  <sheetViews>
    <sheetView showGridLines="0" workbookViewId="0">
      <pane ySplit="5" topLeftCell="A6" activePane="bottomLeft" state="frozen"/>
      <selection pane="bottomLeft" activeCell="B78" sqref="B78"/>
    </sheetView>
  </sheetViews>
  <sheetFormatPr baseColWidth="10" defaultColWidth="8.6640625" defaultRowHeight="14"/>
  <cols>
    <col min="1" max="1" width="8.6640625" style="2"/>
    <col min="2" max="2" width="28" style="2" customWidth="1"/>
    <col min="3" max="5" width="16" style="2" customWidth="1"/>
    <col min="6" max="7" width="13" style="2" customWidth="1"/>
    <col min="8" max="11" width="15" style="2" customWidth="1"/>
    <col min="12" max="12" width="17" style="2" customWidth="1"/>
    <col min="13" max="14" width="14" style="2" customWidth="1"/>
    <col min="15" max="16384" width="8.6640625" style="2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" customHeight="1">
      <c r="A2" s="1"/>
      <c r="B2" s="16" t="s">
        <v>80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"/>
      <c r="P2" s="1"/>
      <c r="Q2" s="1"/>
    </row>
    <row r="3" spans="1:17">
      <c r="A3" s="1"/>
      <c r="B3" s="17" t="s">
        <v>81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8" customHeight="1">
      <c r="A5" s="1"/>
      <c r="B5" s="14" t="s">
        <v>21</v>
      </c>
      <c r="C5" s="14" t="s">
        <v>22</v>
      </c>
      <c r="D5" s="14" t="s">
        <v>82</v>
      </c>
      <c r="E5" s="14" t="s">
        <v>24</v>
      </c>
      <c r="F5" s="14" t="s">
        <v>25</v>
      </c>
      <c r="G5" s="14" t="s">
        <v>26</v>
      </c>
      <c r="H5" s="14" t="s">
        <v>83</v>
      </c>
      <c r="I5" s="14" t="s">
        <v>84</v>
      </c>
      <c r="J5" s="14" t="s">
        <v>85</v>
      </c>
      <c r="K5" s="14" t="s">
        <v>86</v>
      </c>
      <c r="L5" s="14" t="s">
        <v>87</v>
      </c>
      <c r="M5" s="14" t="s">
        <v>88</v>
      </c>
      <c r="N5" s="14" t="s">
        <v>89</v>
      </c>
      <c r="O5" s="1"/>
      <c r="P5" s="1"/>
      <c r="Q5" s="1"/>
    </row>
    <row r="6" spans="1:17">
      <c r="A6" s="1"/>
      <c r="B6" s="4" t="s">
        <v>28</v>
      </c>
      <c r="C6" s="5">
        <v>361111.11111111107</v>
      </c>
      <c r="D6" s="5">
        <v>90740.74074074073</v>
      </c>
      <c r="E6" s="5">
        <v>74629.62962962962</v>
      </c>
      <c r="F6" s="15">
        <v>1210</v>
      </c>
      <c r="G6" s="15">
        <v>68</v>
      </c>
      <c r="H6" s="4" t="s">
        <v>90</v>
      </c>
      <c r="I6" s="4" t="s">
        <v>90</v>
      </c>
      <c r="J6" s="4" t="s">
        <v>90</v>
      </c>
      <c r="K6" s="4" t="s">
        <v>90</v>
      </c>
      <c r="L6" s="4" t="s">
        <v>91</v>
      </c>
      <c r="M6" s="4">
        <v>1</v>
      </c>
      <c r="N6" s="5">
        <v>0</v>
      </c>
      <c r="O6" s="1"/>
      <c r="P6" s="1"/>
      <c r="Q6" s="1"/>
    </row>
    <row r="7" spans="1:17">
      <c r="A7" s="1"/>
      <c r="B7" s="4" t="s">
        <v>30</v>
      </c>
      <c r="C7" s="5">
        <v>370370.37037037034</v>
      </c>
      <c r="D7" s="5">
        <v>88888.888888888876</v>
      </c>
      <c r="E7" s="5">
        <v>72777.777777777766</v>
      </c>
      <c r="F7" s="15">
        <v>1140</v>
      </c>
      <c r="G7" s="15">
        <v>73</v>
      </c>
      <c r="H7" s="4" t="s">
        <v>90</v>
      </c>
      <c r="I7" s="4" t="s">
        <v>90</v>
      </c>
      <c r="J7" s="4" t="s">
        <v>90</v>
      </c>
      <c r="K7" s="4" t="s">
        <v>90</v>
      </c>
      <c r="L7" s="4" t="s">
        <v>91</v>
      </c>
      <c r="M7" s="4">
        <v>2</v>
      </c>
      <c r="N7" s="5">
        <v>1851.8518518518517</v>
      </c>
      <c r="O7" s="1"/>
      <c r="P7" s="1"/>
      <c r="Q7" s="1"/>
    </row>
    <row r="8" spans="1:17">
      <c r="A8" s="1"/>
      <c r="B8" s="4" t="s">
        <v>31</v>
      </c>
      <c r="C8" s="5">
        <v>388888.88888888888</v>
      </c>
      <c r="D8" s="5">
        <v>83333.333333333328</v>
      </c>
      <c r="E8" s="5">
        <v>67222.222222222219</v>
      </c>
      <c r="F8" s="15">
        <v>1260</v>
      </c>
      <c r="G8" s="15">
        <v>63</v>
      </c>
      <c r="H8" s="4" t="s">
        <v>90</v>
      </c>
      <c r="I8" s="4" t="s">
        <v>90</v>
      </c>
      <c r="J8" s="4" t="s">
        <v>90</v>
      </c>
      <c r="K8" s="4" t="s">
        <v>90</v>
      </c>
      <c r="L8" s="4" t="s">
        <v>91</v>
      </c>
      <c r="M8" s="4">
        <v>3</v>
      </c>
      <c r="N8" s="5">
        <v>7407.4074074074069</v>
      </c>
      <c r="O8" s="1"/>
      <c r="P8" s="1"/>
      <c r="Q8" s="1"/>
    </row>
    <row r="9" spans="1:17">
      <c r="A9" s="1"/>
      <c r="B9" s="4" t="s">
        <v>92</v>
      </c>
      <c r="C9" s="5">
        <v>546296.29629629629</v>
      </c>
      <c r="D9" s="5">
        <v>129629.62962962962</v>
      </c>
      <c r="E9" s="5">
        <v>113518.51851851851</v>
      </c>
      <c r="F9" s="15">
        <v>1890</v>
      </c>
      <c r="G9" s="15">
        <v>78</v>
      </c>
      <c r="H9" s="4" t="s">
        <v>93</v>
      </c>
      <c r="I9" s="4" t="s">
        <v>90</v>
      </c>
      <c r="J9" s="4" t="s">
        <v>90</v>
      </c>
      <c r="K9" s="4" t="s">
        <v>90</v>
      </c>
      <c r="L9" s="4" t="s">
        <v>94</v>
      </c>
      <c r="M9" s="4"/>
      <c r="N9" s="5"/>
      <c r="O9" s="1"/>
      <c r="P9" s="1"/>
      <c r="Q9" s="1"/>
    </row>
    <row r="10" spans="1:17">
      <c r="A10" s="1"/>
      <c r="B10" s="4" t="s">
        <v>95</v>
      </c>
      <c r="C10" s="5">
        <v>499999.99999999994</v>
      </c>
      <c r="D10" s="5">
        <v>116666.66666666666</v>
      </c>
      <c r="E10" s="5">
        <v>100555.55555555555</v>
      </c>
      <c r="F10" s="15">
        <v>1810</v>
      </c>
      <c r="G10" s="15">
        <v>70</v>
      </c>
      <c r="H10" s="4" t="s">
        <v>93</v>
      </c>
      <c r="I10" s="4" t="s">
        <v>90</v>
      </c>
      <c r="J10" s="4" t="s">
        <v>90</v>
      </c>
      <c r="K10" s="4" t="s">
        <v>93</v>
      </c>
      <c r="L10" s="4" t="s">
        <v>94</v>
      </c>
      <c r="M10" s="4"/>
      <c r="N10" s="5"/>
      <c r="O10" s="1"/>
      <c r="P10" s="1"/>
      <c r="Q10" s="1"/>
    </row>
    <row r="11" spans="1:17">
      <c r="A11" s="1"/>
      <c r="B11" s="4" t="s">
        <v>96</v>
      </c>
      <c r="C11" s="5">
        <v>444444.44444444444</v>
      </c>
      <c r="D11" s="5">
        <v>112962.96296296295</v>
      </c>
      <c r="E11" s="5">
        <v>96851.851851851839</v>
      </c>
      <c r="F11" s="15">
        <v>1490</v>
      </c>
      <c r="G11" s="15">
        <v>78</v>
      </c>
      <c r="H11" s="4" t="s">
        <v>93</v>
      </c>
      <c r="I11" s="4" t="s">
        <v>90</v>
      </c>
      <c r="J11" s="4" t="s">
        <v>90</v>
      </c>
      <c r="K11" s="4" t="s">
        <v>90</v>
      </c>
      <c r="L11" s="4" t="s">
        <v>94</v>
      </c>
      <c r="M11" s="4"/>
      <c r="N11" s="5"/>
      <c r="O11" s="1"/>
      <c r="P11" s="1"/>
      <c r="Q11" s="1"/>
    </row>
    <row r="12" spans="1:17">
      <c r="A12" s="1"/>
      <c r="B12" s="4" t="s">
        <v>97</v>
      </c>
      <c r="C12" s="5">
        <v>435185.18518518517</v>
      </c>
      <c r="D12" s="5">
        <v>109259.25925925926</v>
      </c>
      <c r="E12" s="5">
        <v>99259.259259259255</v>
      </c>
      <c r="F12" s="15">
        <v>1830</v>
      </c>
      <c r="G12" s="15">
        <v>23</v>
      </c>
      <c r="H12" s="4" t="s">
        <v>93</v>
      </c>
      <c r="I12" s="4" t="s">
        <v>90</v>
      </c>
      <c r="J12" s="4" t="s">
        <v>93</v>
      </c>
      <c r="K12" s="4" t="s">
        <v>90</v>
      </c>
      <c r="L12" s="4" t="s">
        <v>94</v>
      </c>
      <c r="M12" s="4"/>
      <c r="N12" s="5"/>
      <c r="O12" s="1"/>
      <c r="P12" s="1"/>
      <c r="Q12" s="1"/>
    </row>
    <row r="13" spans="1:17">
      <c r="A13" s="1"/>
      <c r="B13" s="4" t="s">
        <v>98</v>
      </c>
      <c r="C13" s="5">
        <v>462962.96296296292</v>
      </c>
      <c r="D13" s="5">
        <v>107407.4074074074</v>
      </c>
      <c r="E13" s="5">
        <v>91296.296296296292</v>
      </c>
      <c r="F13" s="15">
        <v>1610</v>
      </c>
      <c r="G13" s="15">
        <v>68</v>
      </c>
      <c r="H13" s="4" t="s">
        <v>93</v>
      </c>
      <c r="I13" s="4" t="s">
        <v>90</v>
      </c>
      <c r="J13" s="4" t="s">
        <v>90</v>
      </c>
      <c r="K13" s="4" t="s">
        <v>90</v>
      </c>
      <c r="L13" s="4" t="s">
        <v>94</v>
      </c>
      <c r="M13" s="4"/>
      <c r="N13" s="5"/>
      <c r="O13" s="1"/>
      <c r="P13" s="1"/>
      <c r="Q13" s="1"/>
    </row>
    <row r="14" spans="1:17">
      <c r="A14" s="1"/>
      <c r="B14" s="4" t="s">
        <v>99</v>
      </c>
      <c r="C14" s="5">
        <v>472222.22222222219</v>
      </c>
      <c r="D14" s="5">
        <v>105555.55555555555</v>
      </c>
      <c r="E14" s="5">
        <v>89444.444444444438</v>
      </c>
      <c r="F14" s="15">
        <v>1540</v>
      </c>
      <c r="G14" s="15">
        <v>73</v>
      </c>
      <c r="H14" s="4" t="s">
        <v>93</v>
      </c>
      <c r="I14" s="4" t="s">
        <v>90</v>
      </c>
      <c r="J14" s="4" t="s">
        <v>90</v>
      </c>
      <c r="K14" s="4" t="s">
        <v>90</v>
      </c>
      <c r="L14" s="4" t="s">
        <v>94</v>
      </c>
      <c r="M14" s="4"/>
      <c r="N14" s="5"/>
      <c r="O14" s="1"/>
      <c r="P14" s="1"/>
      <c r="Q14" s="1"/>
    </row>
    <row r="15" spans="1:17">
      <c r="A15" s="1"/>
      <c r="B15" s="4" t="s">
        <v>100</v>
      </c>
      <c r="C15" s="5">
        <v>398148.14814814815</v>
      </c>
      <c r="D15" s="5">
        <v>100000</v>
      </c>
      <c r="E15" s="5">
        <v>83888.888888888891</v>
      </c>
      <c r="F15" s="15">
        <v>1410</v>
      </c>
      <c r="G15" s="15">
        <v>70</v>
      </c>
      <c r="H15" s="4" t="s">
        <v>93</v>
      </c>
      <c r="I15" s="4" t="s">
        <v>90</v>
      </c>
      <c r="J15" s="4" t="s">
        <v>90</v>
      </c>
      <c r="K15" s="4" t="s">
        <v>93</v>
      </c>
      <c r="L15" s="4" t="s">
        <v>94</v>
      </c>
      <c r="M15" s="4"/>
      <c r="N15" s="5"/>
      <c r="O15" s="1"/>
      <c r="P15" s="1"/>
      <c r="Q15" s="1"/>
    </row>
    <row r="16" spans="1:17">
      <c r="A16" s="1"/>
      <c r="B16" s="4" t="s">
        <v>101</v>
      </c>
      <c r="C16" s="5">
        <v>388888.88888888888</v>
      </c>
      <c r="D16" s="5">
        <v>96296.296296296292</v>
      </c>
      <c r="E16" s="5">
        <v>86296.296296296292</v>
      </c>
      <c r="F16" s="15">
        <v>1750</v>
      </c>
      <c r="G16" s="15">
        <v>15</v>
      </c>
      <c r="H16" s="4" t="s">
        <v>90</v>
      </c>
      <c r="I16" s="4" t="s">
        <v>90</v>
      </c>
      <c r="J16" s="4" t="s">
        <v>93</v>
      </c>
      <c r="K16" s="4" t="s">
        <v>90</v>
      </c>
      <c r="L16" s="4" t="s">
        <v>94</v>
      </c>
      <c r="M16" s="4"/>
      <c r="N16" s="5"/>
      <c r="O16" s="1"/>
      <c r="P16" s="1"/>
      <c r="Q16" s="1"/>
    </row>
    <row r="17" spans="1:17">
      <c r="A17" s="1"/>
      <c r="B17" s="4" t="s">
        <v>102</v>
      </c>
      <c r="C17" s="5">
        <v>416666.66666666663</v>
      </c>
      <c r="D17" s="5">
        <v>96296.296296296292</v>
      </c>
      <c r="E17" s="5">
        <v>90185.185185185182</v>
      </c>
      <c r="F17" s="15">
        <v>1170</v>
      </c>
      <c r="G17" s="15">
        <v>78</v>
      </c>
      <c r="H17" s="4" t="s">
        <v>93</v>
      </c>
      <c r="I17" s="4" t="s">
        <v>90</v>
      </c>
      <c r="J17" s="4" t="s">
        <v>90</v>
      </c>
      <c r="K17" s="4" t="s">
        <v>90</v>
      </c>
      <c r="L17" s="4" t="s">
        <v>94</v>
      </c>
      <c r="M17" s="4"/>
      <c r="N17" s="5"/>
      <c r="O17" s="1"/>
      <c r="P17" s="1"/>
      <c r="Q17" s="1"/>
    </row>
    <row r="18" spans="1:17">
      <c r="A18" s="1"/>
      <c r="B18" s="4" t="s">
        <v>103</v>
      </c>
      <c r="C18" s="5">
        <v>416666.66666666663</v>
      </c>
      <c r="D18" s="5">
        <v>94444.444444444438</v>
      </c>
      <c r="E18" s="5">
        <v>78333.333333333328</v>
      </c>
      <c r="F18" s="15">
        <v>1530</v>
      </c>
      <c r="G18" s="15">
        <v>60</v>
      </c>
      <c r="H18" s="4" t="s">
        <v>93</v>
      </c>
      <c r="I18" s="4" t="s">
        <v>90</v>
      </c>
      <c r="J18" s="4" t="s">
        <v>90</v>
      </c>
      <c r="K18" s="4" t="s">
        <v>93</v>
      </c>
      <c r="L18" s="4" t="s">
        <v>94</v>
      </c>
      <c r="M18" s="4"/>
      <c r="N18" s="5"/>
      <c r="O18" s="1"/>
      <c r="P18" s="1"/>
      <c r="Q18" s="1"/>
    </row>
    <row r="19" spans="1:17">
      <c r="A19" s="1"/>
      <c r="B19" s="4" t="s">
        <v>104</v>
      </c>
      <c r="C19" s="5">
        <v>333333.33333333331</v>
      </c>
      <c r="D19" s="5">
        <v>92592.592592592584</v>
      </c>
      <c r="E19" s="5">
        <v>82592.592592592584</v>
      </c>
      <c r="F19" s="15">
        <v>1430</v>
      </c>
      <c r="G19" s="15">
        <v>23</v>
      </c>
      <c r="H19" s="4" t="s">
        <v>90</v>
      </c>
      <c r="I19" s="4" t="s">
        <v>90</v>
      </c>
      <c r="J19" s="4" t="s">
        <v>93</v>
      </c>
      <c r="K19" s="4" t="s">
        <v>90</v>
      </c>
      <c r="L19" s="4" t="s">
        <v>94</v>
      </c>
      <c r="M19" s="4"/>
      <c r="N19" s="5"/>
      <c r="O19" s="1"/>
      <c r="P19" s="1"/>
      <c r="Q19" s="1"/>
    </row>
    <row r="20" spans="1:17">
      <c r="A20" s="1"/>
      <c r="B20" s="4" t="s">
        <v>105</v>
      </c>
      <c r="C20" s="5">
        <v>425925.9259259259</v>
      </c>
      <c r="D20" s="5">
        <v>92592.592592592584</v>
      </c>
      <c r="E20" s="5">
        <v>76481.481481481474</v>
      </c>
      <c r="F20" s="15">
        <v>1460</v>
      </c>
      <c r="G20" s="15">
        <v>65</v>
      </c>
      <c r="H20" s="4" t="s">
        <v>93</v>
      </c>
      <c r="I20" s="4" t="s">
        <v>90</v>
      </c>
      <c r="J20" s="4" t="s">
        <v>90</v>
      </c>
      <c r="K20" s="4" t="s">
        <v>93</v>
      </c>
      <c r="L20" s="4" t="s">
        <v>94</v>
      </c>
      <c r="M20" s="4"/>
      <c r="N20" s="5"/>
      <c r="O20" s="1"/>
      <c r="P20" s="1"/>
      <c r="Q20" s="1"/>
    </row>
    <row r="21" spans="1:17">
      <c r="A21" s="1"/>
      <c r="B21" s="4" t="s">
        <v>106</v>
      </c>
      <c r="C21" s="5">
        <v>351851.85185185185</v>
      </c>
      <c r="D21" s="5">
        <v>87037.037037037036</v>
      </c>
      <c r="E21" s="5">
        <v>77037.037037037036</v>
      </c>
      <c r="F21" s="15">
        <v>1550</v>
      </c>
      <c r="G21" s="15">
        <v>13</v>
      </c>
      <c r="H21" s="4" t="s">
        <v>90</v>
      </c>
      <c r="I21" s="4" t="s">
        <v>90</v>
      </c>
      <c r="J21" s="4" t="s">
        <v>93</v>
      </c>
      <c r="K21" s="4" t="s">
        <v>90</v>
      </c>
      <c r="L21" s="4" t="s">
        <v>94</v>
      </c>
      <c r="M21" s="4"/>
      <c r="N21" s="5"/>
      <c r="O21" s="1"/>
      <c r="P21" s="1"/>
      <c r="Q21" s="1"/>
    </row>
    <row r="22" spans="1:17">
      <c r="A22" s="1"/>
      <c r="B22" s="4" t="s">
        <v>107</v>
      </c>
      <c r="C22" s="5">
        <v>361111.11111111107</v>
      </c>
      <c r="D22" s="5">
        <v>85185.185185185182</v>
      </c>
      <c r="E22" s="5">
        <v>75185.185185185182</v>
      </c>
      <c r="F22" s="15">
        <v>1480</v>
      </c>
      <c r="G22" s="15">
        <v>18</v>
      </c>
      <c r="H22" s="4" t="s">
        <v>90</v>
      </c>
      <c r="I22" s="4" t="s">
        <v>90</v>
      </c>
      <c r="J22" s="4" t="s">
        <v>93</v>
      </c>
      <c r="K22" s="4" t="s">
        <v>90</v>
      </c>
      <c r="L22" s="4" t="s">
        <v>94</v>
      </c>
      <c r="M22" s="4"/>
      <c r="N22" s="5"/>
      <c r="O22" s="1"/>
      <c r="P22" s="1"/>
      <c r="Q22" s="1"/>
    </row>
    <row r="23" spans="1:17">
      <c r="A23" s="1"/>
      <c r="B23" s="4" t="s">
        <v>108</v>
      </c>
      <c r="C23" s="5">
        <v>370370.37037037034</v>
      </c>
      <c r="D23" s="5">
        <v>83333.333333333328</v>
      </c>
      <c r="E23" s="5">
        <v>77222.222222222219</v>
      </c>
      <c r="F23" s="15">
        <v>1090</v>
      </c>
      <c r="G23" s="15">
        <v>70</v>
      </c>
      <c r="H23" s="4" t="s">
        <v>90</v>
      </c>
      <c r="I23" s="4" t="s">
        <v>90</v>
      </c>
      <c r="J23" s="4" t="s">
        <v>90</v>
      </c>
      <c r="K23" s="4" t="s">
        <v>93</v>
      </c>
      <c r="L23" s="4" t="s">
        <v>94</v>
      </c>
      <c r="M23" s="4"/>
      <c r="N23" s="5"/>
      <c r="O23" s="1"/>
      <c r="P23" s="1"/>
      <c r="Q23" s="1"/>
    </row>
    <row r="24" spans="1:17">
      <c r="A24" s="1"/>
      <c r="B24" s="4" t="s">
        <v>109</v>
      </c>
      <c r="C24" s="5">
        <v>287037.03703703702</v>
      </c>
      <c r="D24" s="5">
        <v>79629.62962962962</v>
      </c>
      <c r="E24" s="5">
        <v>69629.62962962962</v>
      </c>
      <c r="F24" s="15">
        <v>1350</v>
      </c>
      <c r="G24" s="15">
        <v>15</v>
      </c>
      <c r="H24" s="4" t="s">
        <v>90</v>
      </c>
      <c r="I24" s="4" t="s">
        <v>90</v>
      </c>
      <c r="J24" s="4" t="s">
        <v>93</v>
      </c>
      <c r="K24" s="4" t="s">
        <v>90</v>
      </c>
      <c r="L24" s="4" t="s">
        <v>94</v>
      </c>
      <c r="M24" s="4"/>
      <c r="N24" s="5"/>
      <c r="O24" s="1"/>
      <c r="P24" s="1"/>
      <c r="Q24" s="1"/>
    </row>
    <row r="25" spans="1:17">
      <c r="A25" s="1"/>
      <c r="B25" s="4" t="s">
        <v>110</v>
      </c>
      <c r="C25" s="5">
        <v>314814.81481481477</v>
      </c>
      <c r="D25" s="5">
        <v>79629.62962962962</v>
      </c>
      <c r="E25" s="5">
        <v>73518.518518518511</v>
      </c>
      <c r="F25" s="15">
        <v>770</v>
      </c>
      <c r="G25" s="15">
        <v>78</v>
      </c>
      <c r="H25" s="4" t="s">
        <v>90</v>
      </c>
      <c r="I25" s="4" t="s">
        <v>93</v>
      </c>
      <c r="J25" s="4" t="s">
        <v>90</v>
      </c>
      <c r="K25" s="4" t="s">
        <v>90</v>
      </c>
      <c r="L25" s="4" t="s">
        <v>94</v>
      </c>
      <c r="M25" s="4"/>
      <c r="N25" s="5"/>
      <c r="O25" s="1"/>
      <c r="P25" s="1"/>
      <c r="Q25" s="1"/>
    </row>
    <row r="26" spans="1:17">
      <c r="A26" s="1"/>
      <c r="B26" s="4" t="s">
        <v>111</v>
      </c>
      <c r="C26" s="5">
        <v>314814.81481481477</v>
      </c>
      <c r="D26" s="5">
        <v>77777.777777777766</v>
      </c>
      <c r="E26" s="5">
        <v>61666.666666666664</v>
      </c>
      <c r="F26" s="15">
        <v>1130</v>
      </c>
      <c r="G26" s="15">
        <v>60</v>
      </c>
      <c r="H26" s="4" t="s">
        <v>90</v>
      </c>
      <c r="I26" s="4" t="s">
        <v>90</v>
      </c>
      <c r="J26" s="4" t="s">
        <v>90</v>
      </c>
      <c r="K26" s="4" t="s">
        <v>93</v>
      </c>
      <c r="L26" s="4" t="s">
        <v>94</v>
      </c>
      <c r="M26" s="4"/>
      <c r="N26" s="5"/>
      <c r="O26" s="1"/>
      <c r="P26" s="1"/>
      <c r="Q26" s="1"/>
    </row>
    <row r="27" spans="1:17">
      <c r="A27" s="1"/>
      <c r="B27" s="4" t="s">
        <v>112</v>
      </c>
      <c r="C27" s="5">
        <v>305555.55555555556</v>
      </c>
      <c r="D27" s="5">
        <v>75925.925925925927</v>
      </c>
      <c r="E27" s="5">
        <v>75925.925925925927</v>
      </c>
      <c r="F27" s="15">
        <v>1110</v>
      </c>
      <c r="G27" s="15">
        <v>23</v>
      </c>
      <c r="H27" s="4" t="s">
        <v>90</v>
      </c>
      <c r="I27" s="4" t="s">
        <v>90</v>
      </c>
      <c r="J27" s="4" t="s">
        <v>93</v>
      </c>
      <c r="K27" s="4" t="s">
        <v>90</v>
      </c>
      <c r="L27" s="4" t="s">
        <v>94</v>
      </c>
      <c r="M27" s="4"/>
      <c r="N27" s="5"/>
      <c r="O27" s="1"/>
      <c r="P27" s="1"/>
      <c r="Q27" s="1"/>
    </row>
    <row r="28" spans="1:17">
      <c r="A28" s="1"/>
      <c r="B28" s="4" t="s">
        <v>113</v>
      </c>
      <c r="C28" s="5">
        <v>324074.07407407404</v>
      </c>
      <c r="D28" s="5">
        <v>75925.925925925927</v>
      </c>
      <c r="E28" s="5">
        <v>59814.81481481481</v>
      </c>
      <c r="F28" s="15">
        <v>1060</v>
      </c>
      <c r="G28" s="15">
        <v>65</v>
      </c>
      <c r="H28" s="4" t="s">
        <v>90</v>
      </c>
      <c r="I28" s="4" t="s">
        <v>90</v>
      </c>
      <c r="J28" s="4" t="s">
        <v>90</v>
      </c>
      <c r="K28" s="4" t="s">
        <v>93</v>
      </c>
      <c r="L28" s="4" t="s">
        <v>94</v>
      </c>
      <c r="M28" s="4"/>
      <c r="N28" s="5"/>
      <c r="O28" s="1"/>
      <c r="P28" s="1"/>
      <c r="Q28" s="1"/>
    </row>
    <row r="29" spans="1:17">
      <c r="A29" s="1"/>
      <c r="B29" s="4" t="s">
        <v>114</v>
      </c>
      <c r="C29" s="5">
        <v>305555.55555555556</v>
      </c>
      <c r="D29" s="5">
        <v>74074.074074074073</v>
      </c>
      <c r="E29" s="5">
        <v>64074.074074074073</v>
      </c>
      <c r="F29" s="15">
        <v>1470</v>
      </c>
      <c r="G29" s="15">
        <v>5</v>
      </c>
      <c r="H29" s="4" t="s">
        <v>90</v>
      </c>
      <c r="I29" s="4" t="s">
        <v>90</v>
      </c>
      <c r="J29" s="4" t="s">
        <v>93</v>
      </c>
      <c r="K29" s="4" t="s">
        <v>90</v>
      </c>
      <c r="L29" s="4" t="s">
        <v>94</v>
      </c>
      <c r="M29" s="4"/>
      <c r="N29" s="5"/>
      <c r="O29" s="1"/>
      <c r="P29" s="1"/>
      <c r="Q29" s="1"/>
    </row>
    <row r="30" spans="1:17">
      <c r="A30" s="1"/>
      <c r="B30" s="4" t="s">
        <v>115</v>
      </c>
      <c r="C30" s="5">
        <v>333333.33333333331</v>
      </c>
      <c r="D30" s="5">
        <v>74074.074074074073</v>
      </c>
      <c r="E30" s="5">
        <v>67962.962962962964</v>
      </c>
      <c r="F30" s="15">
        <v>890</v>
      </c>
      <c r="G30" s="15">
        <v>68</v>
      </c>
      <c r="H30" s="4" t="s">
        <v>90</v>
      </c>
      <c r="I30" s="4" t="s">
        <v>93</v>
      </c>
      <c r="J30" s="4" t="s">
        <v>90</v>
      </c>
      <c r="K30" s="4" t="s">
        <v>90</v>
      </c>
      <c r="L30" s="4" t="s">
        <v>94</v>
      </c>
      <c r="M30" s="4"/>
      <c r="N30" s="5"/>
      <c r="O30" s="1"/>
      <c r="P30" s="1"/>
      <c r="Q30" s="1"/>
    </row>
    <row r="31" spans="1:17">
      <c r="A31" s="1"/>
      <c r="B31" s="4" t="s">
        <v>116</v>
      </c>
      <c r="C31" s="5">
        <v>314814.81481481477</v>
      </c>
      <c r="D31" s="5">
        <v>72222.222222222219</v>
      </c>
      <c r="E31" s="5">
        <v>62222.222222222219</v>
      </c>
      <c r="F31" s="15">
        <v>1400</v>
      </c>
      <c r="G31" s="15">
        <v>10</v>
      </c>
      <c r="H31" s="4" t="s">
        <v>90</v>
      </c>
      <c r="I31" s="4" t="s">
        <v>90</v>
      </c>
      <c r="J31" s="4" t="s">
        <v>93</v>
      </c>
      <c r="K31" s="4" t="s">
        <v>90</v>
      </c>
      <c r="L31" s="4" t="s">
        <v>94</v>
      </c>
      <c r="M31" s="4"/>
      <c r="N31" s="5"/>
      <c r="O31" s="1"/>
      <c r="P31" s="1"/>
      <c r="Q31" s="1"/>
    </row>
    <row r="32" spans="1:17">
      <c r="A32" s="1"/>
      <c r="B32" s="4" t="s">
        <v>117</v>
      </c>
      <c r="C32" s="5">
        <v>342592.59259259258</v>
      </c>
      <c r="D32" s="5">
        <v>72222.222222222219</v>
      </c>
      <c r="E32" s="5">
        <v>66111.111111111109</v>
      </c>
      <c r="F32" s="15">
        <v>820</v>
      </c>
      <c r="G32" s="15">
        <v>73</v>
      </c>
      <c r="H32" s="4" t="s">
        <v>90</v>
      </c>
      <c r="I32" s="4" t="s">
        <v>93</v>
      </c>
      <c r="J32" s="4" t="s">
        <v>90</v>
      </c>
      <c r="K32" s="4" t="s">
        <v>90</v>
      </c>
      <c r="L32" s="4" t="s">
        <v>94</v>
      </c>
      <c r="M32" s="4"/>
      <c r="N32" s="5"/>
      <c r="O32" s="1"/>
      <c r="P32" s="1"/>
      <c r="Q32" s="1"/>
    </row>
    <row r="33" spans="1:17">
      <c r="A33" s="1"/>
      <c r="B33" s="4" t="s">
        <v>118</v>
      </c>
      <c r="C33" s="5">
        <v>249999.99999999997</v>
      </c>
      <c r="D33" s="5">
        <v>70370.370370370365</v>
      </c>
      <c r="E33" s="5">
        <v>60370.370370370365</v>
      </c>
      <c r="F33" s="15">
        <v>1150</v>
      </c>
      <c r="G33" s="15">
        <v>13</v>
      </c>
      <c r="H33" s="4" t="s">
        <v>90</v>
      </c>
      <c r="I33" s="4" t="s">
        <v>90</v>
      </c>
      <c r="J33" s="4" t="s">
        <v>93</v>
      </c>
      <c r="K33" s="4" t="s">
        <v>90</v>
      </c>
      <c r="L33" s="4" t="s">
        <v>94</v>
      </c>
      <c r="M33" s="4"/>
      <c r="N33" s="5"/>
      <c r="O33" s="1"/>
      <c r="P33" s="1"/>
      <c r="Q33" s="1"/>
    </row>
    <row r="34" spans="1:17">
      <c r="A34" s="1"/>
      <c r="B34" s="4" t="s">
        <v>119</v>
      </c>
      <c r="C34" s="5">
        <v>342592.59259259258</v>
      </c>
      <c r="D34" s="5">
        <v>70370.370370370365</v>
      </c>
      <c r="E34" s="5">
        <v>54259.259259259255</v>
      </c>
      <c r="F34" s="15">
        <v>1180</v>
      </c>
      <c r="G34" s="15">
        <v>55</v>
      </c>
      <c r="H34" s="4" t="s">
        <v>90</v>
      </c>
      <c r="I34" s="4" t="s">
        <v>90</v>
      </c>
      <c r="J34" s="4" t="s">
        <v>90</v>
      </c>
      <c r="K34" s="4" t="s">
        <v>93</v>
      </c>
      <c r="L34" s="4" t="s">
        <v>94</v>
      </c>
      <c r="M34" s="4"/>
      <c r="N34" s="5"/>
      <c r="O34" s="1"/>
      <c r="P34" s="1"/>
      <c r="Q34" s="1"/>
    </row>
    <row r="35" spans="1:17">
      <c r="A35" s="1"/>
      <c r="B35" s="4" t="s">
        <v>120</v>
      </c>
      <c r="C35" s="5">
        <v>259259.25925925924</v>
      </c>
      <c r="D35" s="5">
        <v>68518.518518518511</v>
      </c>
      <c r="E35" s="5">
        <v>58518.518518518518</v>
      </c>
      <c r="F35" s="15">
        <v>1080</v>
      </c>
      <c r="G35" s="15">
        <v>18</v>
      </c>
      <c r="H35" s="4" t="s">
        <v>90</v>
      </c>
      <c r="I35" s="4" t="s">
        <v>90</v>
      </c>
      <c r="J35" s="4" t="s">
        <v>93</v>
      </c>
      <c r="K35" s="4" t="s">
        <v>90</v>
      </c>
      <c r="L35" s="4" t="s">
        <v>94</v>
      </c>
      <c r="M35" s="4"/>
      <c r="N35" s="5"/>
      <c r="O35" s="1"/>
      <c r="P35" s="1"/>
      <c r="Q35" s="1"/>
    </row>
    <row r="36" spans="1:17">
      <c r="A36" s="1"/>
      <c r="B36" s="4" t="s">
        <v>121</v>
      </c>
      <c r="C36" s="5">
        <v>268518.51851851848</v>
      </c>
      <c r="D36" s="5">
        <v>66666.666666666657</v>
      </c>
      <c r="E36" s="5">
        <v>60555.555555555555</v>
      </c>
      <c r="F36" s="15">
        <v>690</v>
      </c>
      <c r="G36" s="15">
        <v>70</v>
      </c>
      <c r="H36" s="4" t="s">
        <v>90</v>
      </c>
      <c r="I36" s="4" t="s">
        <v>93</v>
      </c>
      <c r="J36" s="4" t="s">
        <v>90</v>
      </c>
      <c r="K36" s="4" t="s">
        <v>93</v>
      </c>
      <c r="L36" s="4" t="s">
        <v>94</v>
      </c>
      <c r="M36" s="4"/>
      <c r="N36" s="5"/>
      <c r="O36" s="1"/>
      <c r="P36" s="1"/>
      <c r="Q36" s="1"/>
    </row>
    <row r="37" spans="1:17">
      <c r="A37" s="1"/>
      <c r="B37" s="4" t="s">
        <v>122</v>
      </c>
      <c r="C37" s="5">
        <v>287037.03703703702</v>
      </c>
      <c r="D37" s="5">
        <v>66666.666666666657</v>
      </c>
      <c r="E37" s="5">
        <v>50555.555555555555</v>
      </c>
      <c r="F37" s="15">
        <v>860</v>
      </c>
      <c r="G37" s="15">
        <v>63</v>
      </c>
      <c r="H37" s="4" t="s">
        <v>90</v>
      </c>
      <c r="I37" s="4" t="s">
        <v>93</v>
      </c>
      <c r="J37" s="4" t="s">
        <v>90</v>
      </c>
      <c r="K37" s="4" t="s">
        <v>90</v>
      </c>
      <c r="L37" s="4" t="s">
        <v>94</v>
      </c>
      <c r="M37" s="4"/>
      <c r="N37" s="5"/>
      <c r="O37" s="1"/>
      <c r="P37" s="1"/>
      <c r="Q37" s="1"/>
    </row>
    <row r="38" spans="1:17">
      <c r="A38" s="1"/>
      <c r="B38" s="4" t="s">
        <v>123</v>
      </c>
      <c r="C38" s="5">
        <v>259259.25925925924</v>
      </c>
      <c r="D38" s="5">
        <v>62962.962962962956</v>
      </c>
      <c r="E38" s="5">
        <v>62962.962962962956</v>
      </c>
      <c r="F38" s="15">
        <v>1030</v>
      </c>
      <c r="G38" s="15">
        <v>15</v>
      </c>
      <c r="H38" s="4" t="s">
        <v>90</v>
      </c>
      <c r="I38" s="4" t="s">
        <v>90</v>
      </c>
      <c r="J38" s="4" t="s">
        <v>93</v>
      </c>
      <c r="K38" s="4" t="s">
        <v>90</v>
      </c>
      <c r="L38" s="4" t="s">
        <v>94</v>
      </c>
      <c r="M38" s="4"/>
      <c r="N38" s="5"/>
      <c r="O38" s="1"/>
      <c r="P38" s="1"/>
      <c r="Q38" s="1"/>
    </row>
    <row r="39" spans="1:17">
      <c r="A39" s="1"/>
      <c r="B39" s="4" t="s">
        <v>124</v>
      </c>
      <c r="C39" s="5">
        <v>277777.77777777775</v>
      </c>
      <c r="D39" s="5">
        <v>62962.962962962956</v>
      </c>
      <c r="E39" s="5">
        <v>52962.962962962956</v>
      </c>
      <c r="F39" s="15">
        <v>1200</v>
      </c>
      <c r="G39" s="15">
        <v>8</v>
      </c>
      <c r="H39" s="4" t="s">
        <v>90</v>
      </c>
      <c r="I39" s="4" t="s">
        <v>90</v>
      </c>
      <c r="J39" s="4" t="s">
        <v>93</v>
      </c>
      <c r="K39" s="4" t="s">
        <v>90</v>
      </c>
      <c r="L39" s="4" t="s">
        <v>94</v>
      </c>
      <c r="M39" s="4"/>
      <c r="N39" s="5"/>
      <c r="O39" s="1"/>
      <c r="P39" s="1"/>
      <c r="Q39" s="1"/>
    </row>
    <row r="40" spans="1:17">
      <c r="A40" s="1"/>
      <c r="B40" s="4" t="s">
        <v>125</v>
      </c>
      <c r="C40" s="5">
        <v>287037.03703703702</v>
      </c>
      <c r="D40" s="5">
        <v>61111.111111111109</v>
      </c>
      <c r="E40" s="5">
        <v>55000</v>
      </c>
      <c r="F40" s="15">
        <v>810</v>
      </c>
      <c r="G40" s="15">
        <v>60</v>
      </c>
      <c r="H40" s="4" t="s">
        <v>90</v>
      </c>
      <c r="I40" s="4" t="s">
        <v>93</v>
      </c>
      <c r="J40" s="4" t="s">
        <v>90</v>
      </c>
      <c r="K40" s="4" t="s">
        <v>93</v>
      </c>
      <c r="L40" s="4" t="s">
        <v>94</v>
      </c>
      <c r="M40" s="4"/>
      <c r="N40" s="5"/>
      <c r="O40" s="1"/>
      <c r="P40" s="1"/>
      <c r="Q40" s="1"/>
    </row>
    <row r="41" spans="1:17">
      <c r="A41" s="1"/>
      <c r="B41" s="4" t="s">
        <v>126</v>
      </c>
      <c r="C41" s="5">
        <v>203703.70370370368</v>
      </c>
      <c r="D41" s="5">
        <v>59259.259259259255</v>
      </c>
      <c r="E41" s="5">
        <v>59259.259259259255</v>
      </c>
      <c r="F41" s="15">
        <v>710</v>
      </c>
      <c r="G41" s="15">
        <v>23</v>
      </c>
      <c r="H41" s="4" t="s">
        <v>90</v>
      </c>
      <c r="I41" s="4" t="s">
        <v>93</v>
      </c>
      <c r="J41" s="4" t="s">
        <v>93</v>
      </c>
      <c r="K41" s="4" t="s">
        <v>90</v>
      </c>
      <c r="L41" s="4" t="s">
        <v>94</v>
      </c>
      <c r="M41" s="4"/>
      <c r="N41" s="5"/>
      <c r="O41" s="1"/>
      <c r="P41" s="1"/>
      <c r="Q41" s="1"/>
    </row>
    <row r="42" spans="1:17">
      <c r="A42" s="1"/>
      <c r="B42" s="4" t="s">
        <v>127</v>
      </c>
      <c r="C42" s="5">
        <v>296296.29629629629</v>
      </c>
      <c r="D42" s="5">
        <v>59259.259259259255</v>
      </c>
      <c r="E42" s="5">
        <v>53148.148148148146</v>
      </c>
      <c r="F42" s="15">
        <v>740</v>
      </c>
      <c r="G42" s="15">
        <v>65</v>
      </c>
      <c r="H42" s="4" t="s">
        <v>90</v>
      </c>
      <c r="I42" s="4" t="s">
        <v>93</v>
      </c>
      <c r="J42" s="4" t="s">
        <v>90</v>
      </c>
      <c r="K42" s="4" t="s">
        <v>93</v>
      </c>
      <c r="L42" s="4" t="s">
        <v>94</v>
      </c>
      <c r="M42" s="4"/>
      <c r="N42" s="5"/>
      <c r="O42" s="1"/>
      <c r="P42" s="1"/>
      <c r="Q42" s="1"/>
    </row>
    <row r="43" spans="1:17">
      <c r="A43" s="1"/>
      <c r="B43" s="4" t="s">
        <v>128</v>
      </c>
      <c r="C43" s="5">
        <v>203703.70370370368</v>
      </c>
      <c r="D43" s="5">
        <v>57407.407407407401</v>
      </c>
      <c r="E43" s="5">
        <v>47407.407407407401</v>
      </c>
      <c r="F43" s="15">
        <v>1070</v>
      </c>
      <c r="G43" s="15">
        <v>5</v>
      </c>
      <c r="H43" s="4" t="s">
        <v>90</v>
      </c>
      <c r="I43" s="4" t="s">
        <v>90</v>
      </c>
      <c r="J43" s="4" t="s">
        <v>93</v>
      </c>
      <c r="K43" s="4" t="s">
        <v>90</v>
      </c>
      <c r="L43" s="4" t="s">
        <v>94</v>
      </c>
      <c r="M43" s="4"/>
      <c r="N43" s="5"/>
      <c r="O43" s="1"/>
      <c r="P43" s="1"/>
      <c r="Q43" s="1"/>
    </row>
    <row r="44" spans="1:17">
      <c r="A44" s="1"/>
      <c r="B44" s="4" t="s">
        <v>129</v>
      </c>
      <c r="C44" s="5">
        <v>231481.48148148146</v>
      </c>
      <c r="D44" s="5">
        <v>57407.407407407401</v>
      </c>
      <c r="E44" s="5">
        <v>51296.296296296292</v>
      </c>
      <c r="F44" s="15">
        <v>490</v>
      </c>
      <c r="G44" s="15">
        <v>68</v>
      </c>
      <c r="H44" s="4" t="s">
        <v>90</v>
      </c>
      <c r="I44" s="4" t="s">
        <v>93</v>
      </c>
      <c r="J44" s="4" t="s">
        <v>90</v>
      </c>
      <c r="K44" s="4" t="s">
        <v>90</v>
      </c>
      <c r="L44" s="4" t="s">
        <v>94</v>
      </c>
      <c r="M44" s="4"/>
      <c r="N44" s="5"/>
      <c r="O44" s="1"/>
      <c r="P44" s="1"/>
      <c r="Q44" s="1"/>
    </row>
    <row r="45" spans="1:17">
      <c r="A45" s="1"/>
      <c r="B45" s="4" t="s">
        <v>130</v>
      </c>
      <c r="C45" s="5">
        <v>212962.96296296295</v>
      </c>
      <c r="D45" s="5">
        <v>55555.555555555555</v>
      </c>
      <c r="E45" s="5">
        <v>45555.555555555555</v>
      </c>
      <c r="F45" s="15">
        <v>1000</v>
      </c>
      <c r="G45" s="15">
        <v>10</v>
      </c>
      <c r="H45" s="4" t="s">
        <v>90</v>
      </c>
      <c r="I45" s="4" t="s">
        <v>90</v>
      </c>
      <c r="J45" s="4" t="s">
        <v>93</v>
      </c>
      <c r="K45" s="4" t="s">
        <v>90</v>
      </c>
      <c r="L45" s="4" t="s">
        <v>94</v>
      </c>
      <c r="M45" s="4"/>
      <c r="N45" s="5"/>
      <c r="O45" s="1"/>
      <c r="P45" s="1"/>
      <c r="Q45" s="1"/>
    </row>
    <row r="46" spans="1:17">
      <c r="A46" s="1"/>
      <c r="B46" s="4" t="s">
        <v>131</v>
      </c>
      <c r="C46" s="5">
        <v>240740.74074074073</v>
      </c>
      <c r="D46" s="5">
        <v>55555.555555555555</v>
      </c>
      <c r="E46" s="5">
        <v>49444.444444444438</v>
      </c>
      <c r="F46" s="15">
        <v>420</v>
      </c>
      <c r="G46" s="15">
        <v>73</v>
      </c>
      <c r="H46" s="4" t="s">
        <v>90</v>
      </c>
      <c r="I46" s="4" t="s">
        <v>93</v>
      </c>
      <c r="J46" s="4" t="s">
        <v>90</v>
      </c>
      <c r="K46" s="4" t="s">
        <v>90</v>
      </c>
      <c r="L46" s="4" t="s">
        <v>94</v>
      </c>
      <c r="M46" s="4"/>
      <c r="N46" s="5"/>
      <c r="O46" s="1"/>
      <c r="P46" s="1"/>
      <c r="Q46" s="1"/>
    </row>
    <row r="47" spans="1:17">
      <c r="A47" s="1"/>
      <c r="B47" s="4" t="s">
        <v>132</v>
      </c>
      <c r="C47" s="5">
        <v>222222.22222222222</v>
      </c>
      <c r="D47" s="5">
        <v>53703.703703703701</v>
      </c>
      <c r="E47" s="5">
        <v>53703.703703703701</v>
      </c>
      <c r="F47" s="15">
        <v>830</v>
      </c>
      <c r="G47" s="15">
        <v>13</v>
      </c>
      <c r="H47" s="4" t="s">
        <v>90</v>
      </c>
      <c r="I47" s="4" t="s">
        <v>93</v>
      </c>
      <c r="J47" s="4" t="s">
        <v>93</v>
      </c>
      <c r="K47" s="4" t="s">
        <v>90</v>
      </c>
      <c r="L47" s="4" t="s">
        <v>94</v>
      </c>
      <c r="M47" s="4"/>
      <c r="N47" s="5"/>
      <c r="O47" s="1"/>
      <c r="P47" s="1"/>
      <c r="Q47" s="1"/>
    </row>
    <row r="48" spans="1:17">
      <c r="A48" s="1"/>
      <c r="B48" s="4" t="s">
        <v>133</v>
      </c>
      <c r="C48" s="5">
        <v>240740.74074074073</v>
      </c>
      <c r="D48" s="5">
        <v>53703.703703703701</v>
      </c>
      <c r="E48" s="5">
        <v>37592.592592592591</v>
      </c>
      <c r="F48" s="15">
        <v>780</v>
      </c>
      <c r="G48" s="15">
        <v>55</v>
      </c>
      <c r="H48" s="4" t="s">
        <v>90</v>
      </c>
      <c r="I48" s="4" t="s">
        <v>93</v>
      </c>
      <c r="J48" s="4" t="s">
        <v>90</v>
      </c>
      <c r="K48" s="4" t="s">
        <v>93</v>
      </c>
      <c r="L48" s="4" t="s">
        <v>94</v>
      </c>
      <c r="M48" s="4"/>
      <c r="N48" s="5"/>
      <c r="O48" s="1"/>
      <c r="P48" s="1"/>
      <c r="Q48" s="1"/>
    </row>
    <row r="49" spans="1:17">
      <c r="A49" s="1"/>
      <c r="B49" s="4" t="s">
        <v>134</v>
      </c>
      <c r="C49" s="5">
        <v>231481.48148148146</v>
      </c>
      <c r="D49" s="5">
        <v>51851.851851851847</v>
      </c>
      <c r="E49" s="5">
        <v>51851.851851851847</v>
      </c>
      <c r="F49" s="15">
        <v>760</v>
      </c>
      <c r="G49" s="15">
        <v>18</v>
      </c>
      <c r="H49" s="4" t="s">
        <v>90</v>
      </c>
      <c r="I49" s="4" t="s">
        <v>93</v>
      </c>
      <c r="J49" s="4" t="s">
        <v>93</v>
      </c>
      <c r="K49" s="4" t="s">
        <v>90</v>
      </c>
      <c r="L49" s="4" t="s">
        <v>94</v>
      </c>
      <c r="M49" s="4"/>
      <c r="N49" s="5"/>
      <c r="O49" s="1"/>
      <c r="P49" s="1"/>
      <c r="Q49" s="1"/>
    </row>
    <row r="50" spans="1:17">
      <c r="A50" s="1"/>
      <c r="B50" s="4" t="s">
        <v>135</v>
      </c>
      <c r="C50" s="5">
        <v>231481.48148148146</v>
      </c>
      <c r="D50" s="5">
        <v>50000</v>
      </c>
      <c r="E50" s="5">
        <v>40000</v>
      </c>
      <c r="F50" s="15">
        <v>1120</v>
      </c>
      <c r="G50" s="15">
        <v>0</v>
      </c>
      <c r="H50" s="4" t="s">
        <v>90</v>
      </c>
      <c r="I50" s="4" t="s">
        <v>90</v>
      </c>
      <c r="J50" s="4" t="s">
        <v>93</v>
      </c>
      <c r="K50" s="4" t="s">
        <v>90</v>
      </c>
      <c r="L50" s="4" t="s">
        <v>94</v>
      </c>
      <c r="M50" s="4"/>
      <c r="N50" s="5"/>
      <c r="O50" s="1"/>
      <c r="P50" s="1"/>
      <c r="Q50" s="1"/>
    </row>
    <row r="51" spans="1:17">
      <c r="A51" s="1"/>
      <c r="B51" s="4" t="s">
        <v>136</v>
      </c>
      <c r="C51" s="5">
        <v>259259.25925925924</v>
      </c>
      <c r="D51" s="5">
        <v>50000</v>
      </c>
      <c r="E51" s="5">
        <v>43888.888888888883</v>
      </c>
      <c r="F51" s="15">
        <v>540</v>
      </c>
      <c r="G51" s="15">
        <v>63</v>
      </c>
      <c r="H51" s="4" t="s">
        <v>90</v>
      </c>
      <c r="I51" s="4" t="s">
        <v>93</v>
      </c>
      <c r="J51" s="4" t="s">
        <v>90</v>
      </c>
      <c r="K51" s="4" t="s">
        <v>90</v>
      </c>
      <c r="L51" s="4" t="s">
        <v>94</v>
      </c>
      <c r="M51" s="4"/>
      <c r="N51" s="5"/>
      <c r="O51" s="1"/>
      <c r="P51" s="1"/>
      <c r="Q51" s="1"/>
    </row>
    <row r="52" spans="1:17">
      <c r="A52" s="1"/>
      <c r="B52" s="4" t="s">
        <v>137</v>
      </c>
      <c r="C52" s="5">
        <v>157407.40740740739</v>
      </c>
      <c r="D52" s="5">
        <v>46296.296296296292</v>
      </c>
      <c r="E52" s="5">
        <v>46296.296296296292</v>
      </c>
      <c r="F52" s="15">
        <v>630</v>
      </c>
      <c r="G52" s="15">
        <v>15</v>
      </c>
      <c r="H52" s="4" t="s">
        <v>90</v>
      </c>
      <c r="I52" s="4" t="s">
        <v>93</v>
      </c>
      <c r="J52" s="4" t="s">
        <v>93</v>
      </c>
      <c r="K52" s="4" t="s">
        <v>90</v>
      </c>
      <c r="L52" s="4" t="s">
        <v>94</v>
      </c>
      <c r="M52" s="4"/>
      <c r="N52" s="5"/>
      <c r="O52" s="1"/>
      <c r="P52" s="1"/>
      <c r="Q52" s="1"/>
    </row>
    <row r="53" spans="1:17">
      <c r="A53" s="1"/>
      <c r="B53" s="4" t="s">
        <v>138</v>
      </c>
      <c r="C53" s="5">
        <v>175925.92592592593</v>
      </c>
      <c r="D53" s="5">
        <v>46296.296296296292</v>
      </c>
      <c r="E53" s="5">
        <v>36296.296296296292</v>
      </c>
      <c r="F53" s="15">
        <v>800</v>
      </c>
      <c r="G53" s="15">
        <v>8</v>
      </c>
      <c r="H53" s="4" t="s">
        <v>90</v>
      </c>
      <c r="I53" s="4" t="s">
        <v>93</v>
      </c>
      <c r="J53" s="4" t="s">
        <v>93</v>
      </c>
      <c r="K53" s="4" t="s">
        <v>90</v>
      </c>
      <c r="L53" s="4" t="s">
        <v>94</v>
      </c>
      <c r="M53" s="4"/>
      <c r="N53" s="5"/>
      <c r="O53" s="1"/>
      <c r="P53" s="1"/>
      <c r="Q53" s="1"/>
    </row>
    <row r="54" spans="1:17">
      <c r="A54" s="1"/>
      <c r="B54" s="4" t="s">
        <v>139</v>
      </c>
      <c r="C54" s="5">
        <v>185185.18518518517</v>
      </c>
      <c r="D54" s="5">
        <v>44444.444444444438</v>
      </c>
      <c r="E54" s="5">
        <v>38333.333333333328</v>
      </c>
      <c r="F54" s="15">
        <v>410</v>
      </c>
      <c r="G54" s="15">
        <v>60</v>
      </c>
      <c r="H54" s="4" t="s">
        <v>90</v>
      </c>
      <c r="I54" s="4" t="s">
        <v>93</v>
      </c>
      <c r="J54" s="4" t="s">
        <v>90</v>
      </c>
      <c r="K54" s="4" t="s">
        <v>93</v>
      </c>
      <c r="L54" s="4" t="s">
        <v>94</v>
      </c>
      <c r="M54" s="4"/>
      <c r="N54" s="5"/>
      <c r="O54" s="1"/>
      <c r="P54" s="1"/>
      <c r="Q54" s="1"/>
    </row>
    <row r="55" spans="1:17">
      <c r="A55" s="1"/>
      <c r="B55" s="4" t="s">
        <v>140</v>
      </c>
      <c r="C55" s="5">
        <v>194444.44444444444</v>
      </c>
      <c r="D55" s="5">
        <v>42592.592592592591</v>
      </c>
      <c r="E55" s="5">
        <v>36481.481481481482</v>
      </c>
      <c r="F55" s="15">
        <v>340</v>
      </c>
      <c r="G55" s="15">
        <v>65</v>
      </c>
      <c r="H55" s="4" t="s">
        <v>90</v>
      </c>
      <c r="I55" s="4" t="s">
        <v>93</v>
      </c>
      <c r="J55" s="4" t="s">
        <v>90</v>
      </c>
      <c r="K55" s="4" t="s">
        <v>93</v>
      </c>
      <c r="L55" s="4" t="s">
        <v>94</v>
      </c>
      <c r="M55" s="4"/>
      <c r="N55" s="5"/>
      <c r="O55" s="1"/>
      <c r="P55" s="1"/>
      <c r="Q55" s="1"/>
    </row>
    <row r="56" spans="1:17">
      <c r="A56" s="1"/>
      <c r="B56" s="4" t="s">
        <v>141</v>
      </c>
      <c r="C56" s="5">
        <v>175925.92592592593</v>
      </c>
      <c r="D56" s="5">
        <v>40740.740740740737</v>
      </c>
      <c r="E56" s="5">
        <v>40740.740740740737</v>
      </c>
      <c r="F56" s="15">
        <v>750</v>
      </c>
      <c r="G56" s="15">
        <v>5</v>
      </c>
      <c r="H56" s="4" t="s">
        <v>90</v>
      </c>
      <c r="I56" s="4" t="s">
        <v>93</v>
      </c>
      <c r="J56" s="4" t="s">
        <v>93</v>
      </c>
      <c r="K56" s="4" t="s">
        <v>90</v>
      </c>
      <c r="L56" s="4" t="s">
        <v>94</v>
      </c>
      <c r="M56" s="4"/>
      <c r="N56" s="5"/>
      <c r="O56" s="1"/>
      <c r="P56" s="1"/>
      <c r="Q56" s="1"/>
    </row>
    <row r="57" spans="1:17">
      <c r="A57" s="1"/>
      <c r="B57" s="4" t="s">
        <v>142</v>
      </c>
      <c r="C57" s="5">
        <v>185185.18518518517</v>
      </c>
      <c r="D57" s="5">
        <v>38888.888888888883</v>
      </c>
      <c r="E57" s="5">
        <v>38888.888888888883</v>
      </c>
      <c r="F57" s="15">
        <v>680</v>
      </c>
      <c r="G57" s="15">
        <v>10</v>
      </c>
      <c r="H57" s="4" t="s">
        <v>90</v>
      </c>
      <c r="I57" s="4" t="s">
        <v>93</v>
      </c>
      <c r="J57" s="4" t="s">
        <v>93</v>
      </c>
      <c r="K57" s="4" t="s">
        <v>90</v>
      </c>
      <c r="L57" s="4" t="s">
        <v>94</v>
      </c>
      <c r="M57" s="4"/>
      <c r="N57" s="5"/>
      <c r="O57" s="1"/>
      <c r="P57" s="1"/>
      <c r="Q57" s="1"/>
    </row>
    <row r="58" spans="1:17">
      <c r="A58" s="1"/>
      <c r="B58" s="4" t="s">
        <v>143</v>
      </c>
      <c r="C58" s="5">
        <v>120370.37037037036</v>
      </c>
      <c r="D58" s="5">
        <v>37037.037037037036</v>
      </c>
      <c r="E58" s="5">
        <v>37037.037037037036</v>
      </c>
      <c r="F58" s="15">
        <v>430</v>
      </c>
      <c r="G58" s="15">
        <v>13</v>
      </c>
      <c r="H58" s="4" t="s">
        <v>90</v>
      </c>
      <c r="I58" s="4" t="s">
        <v>93</v>
      </c>
      <c r="J58" s="4" t="s">
        <v>93</v>
      </c>
      <c r="K58" s="4" t="s">
        <v>90</v>
      </c>
      <c r="L58" s="4" t="s">
        <v>94</v>
      </c>
      <c r="M58" s="4"/>
      <c r="N58" s="5"/>
      <c r="O58" s="1"/>
      <c r="P58" s="1"/>
      <c r="Q58" s="1"/>
    </row>
    <row r="59" spans="1:17">
      <c r="A59" s="1"/>
      <c r="B59" s="4" t="s">
        <v>144</v>
      </c>
      <c r="C59" s="5">
        <v>212962.96296296295</v>
      </c>
      <c r="D59" s="5">
        <v>37037.037037037036</v>
      </c>
      <c r="E59" s="5">
        <v>30925.925925925923</v>
      </c>
      <c r="F59" s="15">
        <v>460</v>
      </c>
      <c r="G59" s="15">
        <v>55</v>
      </c>
      <c r="H59" s="4" t="s">
        <v>90</v>
      </c>
      <c r="I59" s="4" t="s">
        <v>93</v>
      </c>
      <c r="J59" s="4" t="s">
        <v>90</v>
      </c>
      <c r="K59" s="4" t="s">
        <v>93</v>
      </c>
      <c r="L59" s="4" t="s">
        <v>94</v>
      </c>
      <c r="M59" s="4"/>
      <c r="N59" s="5"/>
      <c r="O59" s="1"/>
      <c r="P59" s="1"/>
      <c r="Q59" s="1"/>
    </row>
    <row r="60" spans="1:17">
      <c r="A60" s="1"/>
      <c r="B60" s="4" t="s">
        <v>145</v>
      </c>
      <c r="C60" s="5">
        <v>129629.62962962962</v>
      </c>
      <c r="D60" s="5">
        <v>35185.185185185182</v>
      </c>
      <c r="E60" s="5">
        <v>35185.185185185182</v>
      </c>
      <c r="F60" s="15">
        <v>360</v>
      </c>
      <c r="G60" s="15">
        <v>18</v>
      </c>
      <c r="H60" s="4" t="s">
        <v>90</v>
      </c>
      <c r="I60" s="4" t="s">
        <v>93</v>
      </c>
      <c r="J60" s="4" t="s">
        <v>93</v>
      </c>
      <c r="K60" s="4" t="s">
        <v>90</v>
      </c>
      <c r="L60" s="4" t="s">
        <v>94</v>
      </c>
      <c r="M60" s="4"/>
      <c r="N60" s="5"/>
      <c r="O60" s="1"/>
      <c r="P60" s="1"/>
      <c r="Q60" s="1"/>
    </row>
    <row r="61" spans="1:17">
      <c r="A61" s="1"/>
      <c r="B61" s="4" t="s">
        <v>64</v>
      </c>
      <c r="C61" s="5">
        <v>129629.62962962962</v>
      </c>
      <c r="D61" s="5">
        <v>33333.333333333328</v>
      </c>
      <c r="E61" s="5">
        <v>23333.333333333328</v>
      </c>
      <c r="F61" s="15">
        <v>720</v>
      </c>
      <c r="G61" s="15">
        <v>0</v>
      </c>
      <c r="H61" s="4" t="s">
        <v>90</v>
      </c>
      <c r="I61" s="4" t="s">
        <v>93</v>
      </c>
      <c r="J61" s="4" t="s">
        <v>93</v>
      </c>
      <c r="K61" s="4" t="s">
        <v>90</v>
      </c>
      <c r="L61" s="4" t="s">
        <v>94</v>
      </c>
      <c r="M61" s="4"/>
      <c r="N61" s="5"/>
      <c r="O61" s="1"/>
      <c r="P61" s="1"/>
      <c r="Q61" s="1"/>
    </row>
    <row r="62" spans="1:17">
      <c r="A62" s="1"/>
      <c r="B62" s="4" t="s">
        <v>146</v>
      </c>
      <c r="C62" s="5">
        <v>157407.40740740739</v>
      </c>
      <c r="D62" s="5">
        <v>33333.333333333328</v>
      </c>
      <c r="E62" s="5">
        <v>27222.222222222219</v>
      </c>
      <c r="F62" s="15">
        <v>140</v>
      </c>
      <c r="G62" s="15">
        <v>63</v>
      </c>
      <c r="H62" s="4" t="s">
        <v>90</v>
      </c>
      <c r="I62" s="4" t="s">
        <v>93</v>
      </c>
      <c r="J62" s="4" t="s">
        <v>90</v>
      </c>
      <c r="K62" s="4" t="s">
        <v>90</v>
      </c>
      <c r="L62" s="4" t="s">
        <v>94</v>
      </c>
      <c r="M62" s="4"/>
      <c r="N62" s="5"/>
      <c r="O62" s="1"/>
      <c r="P62" s="1"/>
      <c r="Q62" s="1"/>
    </row>
    <row r="63" spans="1:17">
      <c r="A63" s="1"/>
      <c r="B63" s="4" t="s">
        <v>147</v>
      </c>
      <c r="C63" s="5">
        <v>148148.14814814815</v>
      </c>
      <c r="D63" s="5">
        <v>29629.629629629628</v>
      </c>
      <c r="E63" s="5">
        <v>29629.629629629628</v>
      </c>
      <c r="F63" s="15">
        <v>480</v>
      </c>
      <c r="G63" s="15">
        <v>8</v>
      </c>
      <c r="H63" s="4" t="s">
        <v>90</v>
      </c>
      <c r="I63" s="4" t="s">
        <v>93</v>
      </c>
      <c r="J63" s="4" t="s">
        <v>93</v>
      </c>
      <c r="K63" s="4" t="s">
        <v>90</v>
      </c>
      <c r="L63" s="4" t="s">
        <v>94</v>
      </c>
      <c r="M63" s="4"/>
      <c r="N63" s="5"/>
      <c r="O63" s="1"/>
      <c r="P63" s="1"/>
      <c r="Q63" s="1"/>
    </row>
    <row r="64" spans="1:17">
      <c r="A64" s="1"/>
      <c r="B64" s="4" t="s">
        <v>60</v>
      </c>
      <c r="C64" s="5">
        <v>74074.074074074073</v>
      </c>
      <c r="D64" s="5">
        <v>24074.074074074073</v>
      </c>
      <c r="E64" s="5">
        <v>24074.074074074073</v>
      </c>
      <c r="F64" s="15">
        <v>350</v>
      </c>
      <c r="G64" s="15">
        <v>5</v>
      </c>
      <c r="H64" s="4" t="s">
        <v>90</v>
      </c>
      <c r="I64" s="4" t="s">
        <v>93</v>
      </c>
      <c r="J64" s="4" t="s">
        <v>93</v>
      </c>
      <c r="K64" s="4" t="s">
        <v>90</v>
      </c>
      <c r="L64" s="4" t="s">
        <v>94</v>
      </c>
      <c r="M64" s="4"/>
      <c r="N64" s="5"/>
      <c r="O64" s="1"/>
      <c r="P64" s="1"/>
      <c r="Q64" s="1"/>
    </row>
    <row r="65" spans="1:17">
      <c r="A65" s="1"/>
      <c r="B65" s="4" t="s">
        <v>74</v>
      </c>
      <c r="C65" s="5">
        <v>83333.333333333328</v>
      </c>
      <c r="D65" s="5">
        <v>22222.222222222219</v>
      </c>
      <c r="E65" s="5">
        <v>22222.222222222219</v>
      </c>
      <c r="F65" s="15">
        <v>280</v>
      </c>
      <c r="G65" s="15">
        <v>10</v>
      </c>
      <c r="H65" s="4" t="s">
        <v>90</v>
      </c>
      <c r="I65" s="4" t="s">
        <v>93</v>
      </c>
      <c r="J65" s="4" t="s">
        <v>93</v>
      </c>
      <c r="K65" s="4" t="s">
        <v>90</v>
      </c>
      <c r="L65" s="4" t="s">
        <v>94</v>
      </c>
      <c r="M65" s="4"/>
      <c r="N65" s="5"/>
      <c r="O65" s="1"/>
      <c r="P65" s="1"/>
      <c r="Q65" s="1"/>
    </row>
    <row r="66" spans="1:17">
      <c r="A66" s="1"/>
      <c r="B66" s="4" t="s">
        <v>67</v>
      </c>
      <c r="C66" s="5">
        <v>111111.11111111111</v>
      </c>
      <c r="D66" s="5">
        <v>20370.370370370369</v>
      </c>
      <c r="E66" s="5">
        <v>14259.259259259259</v>
      </c>
      <c r="F66" s="15">
        <v>60</v>
      </c>
      <c r="G66" s="15">
        <v>55</v>
      </c>
      <c r="H66" s="4" t="s">
        <v>90</v>
      </c>
      <c r="I66" s="4" t="s">
        <v>93</v>
      </c>
      <c r="J66" s="4" t="s">
        <v>90</v>
      </c>
      <c r="K66" s="4" t="s">
        <v>93</v>
      </c>
      <c r="L66" s="4" t="s">
        <v>94</v>
      </c>
      <c r="M66" s="4"/>
      <c r="N66" s="5"/>
      <c r="O66" s="1"/>
      <c r="P66" s="1"/>
      <c r="Q66" s="1"/>
    </row>
    <row r="67" spans="1:17">
      <c r="A67" s="1"/>
      <c r="B67" s="4" t="s">
        <v>77</v>
      </c>
      <c r="C67" s="5">
        <v>101851.85185185184</v>
      </c>
      <c r="D67" s="5">
        <v>16666.666666666664</v>
      </c>
      <c r="E67" s="5">
        <v>16666.666666666664</v>
      </c>
      <c r="F67" s="15">
        <v>400</v>
      </c>
      <c r="G67" s="15">
        <v>0</v>
      </c>
      <c r="H67" s="4" t="s">
        <v>90</v>
      </c>
      <c r="I67" s="4" t="s">
        <v>93</v>
      </c>
      <c r="J67" s="4" t="s">
        <v>93</v>
      </c>
      <c r="K67" s="4" t="s">
        <v>90</v>
      </c>
      <c r="L67" s="4" t="s">
        <v>94</v>
      </c>
      <c r="M67" s="4"/>
      <c r="N67" s="5"/>
      <c r="O67" s="1"/>
      <c r="P67" s="1"/>
      <c r="Q67" s="1"/>
    </row>
    <row r="68" spans="1:17">
      <c r="A68" s="1"/>
      <c r="B68" s="4" t="s">
        <v>70</v>
      </c>
      <c r="C68" s="5">
        <v>46296.296296296292</v>
      </c>
      <c r="D68" s="5">
        <v>12962.962962962962</v>
      </c>
      <c r="E68" s="5">
        <v>12962.962962962962</v>
      </c>
      <c r="F68" s="15">
        <v>80</v>
      </c>
      <c r="G68" s="15">
        <v>8</v>
      </c>
      <c r="H68" s="4" t="s">
        <v>90</v>
      </c>
      <c r="I68" s="4" t="s">
        <v>93</v>
      </c>
      <c r="J68" s="4" t="s">
        <v>93</v>
      </c>
      <c r="K68" s="4" t="s">
        <v>90</v>
      </c>
      <c r="L68" s="4" t="s">
        <v>94</v>
      </c>
      <c r="M68" s="4"/>
      <c r="N68" s="5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2">
    <mergeCell ref="B2:N2"/>
    <mergeCell ref="B3:N3"/>
  </mergeCells>
  <conditionalFormatting sqref="L6:L68">
    <cfRule type="containsText" dxfId="1" priority="1" operator="containsText" text="Non admissible"/>
    <cfRule type="containsText" dxfId="0" priority="2" operator="containsText" text="Admissible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Q100"/>
  <sheetViews>
    <sheetView showGridLines="0" workbookViewId="0">
      <selection activeCell="B13" activeCellId="2" sqref="B5:I5 B11:I11 A1:XFD1048576"/>
    </sheetView>
  </sheetViews>
  <sheetFormatPr baseColWidth="10" defaultColWidth="8.6640625" defaultRowHeight="14"/>
  <cols>
    <col min="1" max="1" width="8.6640625" style="2"/>
    <col min="2" max="2" width="20" style="2" customWidth="1"/>
    <col min="3" max="3" width="28" style="2" customWidth="1"/>
    <col min="4" max="9" width="18" style="2" customWidth="1"/>
    <col min="10" max="16384" width="8.6640625" style="2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" customHeight="1">
      <c r="A2" s="1"/>
      <c r="B2" s="16" t="s">
        <v>148</v>
      </c>
      <c r="C2" s="16"/>
      <c r="D2" s="16"/>
      <c r="E2" s="16"/>
      <c r="F2" s="16"/>
      <c r="G2" s="16"/>
      <c r="H2" s="16"/>
      <c r="I2" s="16"/>
      <c r="J2" s="16"/>
      <c r="K2" s="1"/>
      <c r="L2" s="1"/>
      <c r="M2" s="1"/>
      <c r="N2" s="1"/>
      <c r="O2" s="1"/>
      <c r="P2" s="1"/>
      <c r="Q2" s="1"/>
    </row>
    <row r="3" spans="1:17">
      <c r="A3" s="1"/>
      <c r="B3" s="17" t="s">
        <v>149</v>
      </c>
      <c r="C3" s="17"/>
      <c r="D3" s="17"/>
      <c r="E3" s="17"/>
      <c r="F3" s="17"/>
      <c r="G3" s="17"/>
      <c r="H3" s="17"/>
      <c r="I3" s="17"/>
      <c r="J3" s="17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8" customHeight="1">
      <c r="A5" s="1"/>
      <c r="B5" s="14" t="s">
        <v>150</v>
      </c>
      <c r="C5" s="14" t="s">
        <v>21</v>
      </c>
      <c r="D5" s="14" t="s">
        <v>23</v>
      </c>
      <c r="E5" s="14" t="s">
        <v>24</v>
      </c>
      <c r="F5" s="14" t="s">
        <v>151</v>
      </c>
      <c r="G5" s="14" t="s">
        <v>152</v>
      </c>
      <c r="H5" s="14" t="s">
        <v>153</v>
      </c>
      <c r="I5" s="14" t="s">
        <v>154</v>
      </c>
      <c r="J5" s="1"/>
      <c r="K5" s="1"/>
      <c r="L5" s="1"/>
      <c r="M5" s="1"/>
      <c r="N5" s="1"/>
      <c r="O5" s="1"/>
      <c r="P5" s="1"/>
      <c r="Q5" s="1"/>
    </row>
    <row r="6" spans="1:17">
      <c r="A6" s="1"/>
      <c r="B6" s="4">
        <v>1</v>
      </c>
      <c r="C6" s="4" t="s">
        <v>28</v>
      </c>
      <c r="D6" s="5">
        <v>90740.74074074073</v>
      </c>
      <c r="E6" s="5">
        <v>74629.62962962962</v>
      </c>
      <c r="F6" s="5">
        <v>16111.111111111109</v>
      </c>
      <c r="G6" s="6">
        <v>-0.17755102040816328</v>
      </c>
      <c r="H6" s="4">
        <v>1</v>
      </c>
      <c r="I6" s="4" t="s">
        <v>155</v>
      </c>
      <c r="J6" s="1"/>
      <c r="K6" s="1"/>
      <c r="L6" s="1"/>
      <c r="M6" s="1"/>
      <c r="N6" s="1"/>
      <c r="O6" s="1"/>
      <c r="P6" s="1"/>
      <c r="Q6" s="1"/>
    </row>
    <row r="7" spans="1:17">
      <c r="A7" s="1"/>
      <c r="B7" s="4">
        <v>2</v>
      </c>
      <c r="C7" s="4" t="s">
        <v>30</v>
      </c>
      <c r="D7" s="5">
        <v>88888.888888888876</v>
      </c>
      <c r="E7" s="5">
        <v>72777.777777777766</v>
      </c>
      <c r="F7" s="5">
        <v>16111.111111111109</v>
      </c>
      <c r="G7" s="6">
        <v>-0.18125000000000002</v>
      </c>
      <c r="H7" s="4">
        <v>2</v>
      </c>
      <c r="I7" s="4" t="s">
        <v>155</v>
      </c>
      <c r="J7" s="1"/>
      <c r="K7" s="1"/>
      <c r="L7" s="1"/>
      <c r="M7" s="1"/>
      <c r="N7" s="1"/>
      <c r="O7" s="1"/>
      <c r="P7" s="1"/>
      <c r="Q7" s="1"/>
    </row>
    <row r="8" spans="1:17">
      <c r="A8" s="1"/>
      <c r="B8" s="4">
        <v>3</v>
      </c>
      <c r="C8" s="4" t="s">
        <v>31</v>
      </c>
      <c r="D8" s="5">
        <v>83333.333333333328</v>
      </c>
      <c r="E8" s="5">
        <v>67222.222222222219</v>
      </c>
      <c r="F8" s="5">
        <v>16111.111111111109</v>
      </c>
      <c r="G8" s="6">
        <v>-0.19333333333333336</v>
      </c>
      <c r="H8" s="4">
        <v>3</v>
      </c>
      <c r="I8" s="4" t="s">
        <v>155</v>
      </c>
      <c r="J8" s="1"/>
      <c r="K8" s="1"/>
      <c r="L8" s="1"/>
      <c r="M8" s="1"/>
      <c r="N8" s="1"/>
      <c r="O8" s="1"/>
      <c r="P8" s="1"/>
      <c r="Q8" s="1"/>
    </row>
    <row r="9" spans="1:1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2" customHeight="1">
      <c r="A11" s="1"/>
      <c r="B11" s="18" t="s">
        <v>156</v>
      </c>
      <c r="C11" s="18"/>
      <c r="D11" s="18"/>
      <c r="E11" s="18"/>
      <c r="F11" s="18"/>
      <c r="G11" s="18"/>
      <c r="H11" s="18"/>
      <c r="I11" s="18"/>
      <c r="J11" s="1"/>
      <c r="K11" s="1"/>
      <c r="L11" s="1"/>
      <c r="M11" s="1"/>
      <c r="N11" s="1"/>
      <c r="O11" s="1"/>
      <c r="P11" s="1"/>
      <c r="Q11" s="1"/>
    </row>
    <row r="12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8" customHeight="1">
      <c r="A13" s="1"/>
      <c r="B13" s="14" t="s">
        <v>157</v>
      </c>
      <c r="C13" s="14" t="s">
        <v>34</v>
      </c>
      <c r="D13" s="14" t="s">
        <v>158</v>
      </c>
      <c r="E13" s="14" t="s">
        <v>159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6">
      <c r="A14" s="1"/>
      <c r="B14" s="4" t="s">
        <v>160</v>
      </c>
      <c r="C14" s="5">
        <v>1851.8518518518517</v>
      </c>
      <c r="D14" s="13" t="s">
        <v>161</v>
      </c>
      <c r="E14" s="13" t="s">
        <v>162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39">
      <c r="A15" s="1"/>
      <c r="B15" s="4" t="s">
        <v>163</v>
      </c>
      <c r="C15" s="5">
        <v>1851.8518518518517</v>
      </c>
      <c r="D15" s="13" t="s">
        <v>164</v>
      </c>
      <c r="E15" s="13" t="s">
        <v>155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6">
      <c r="A16" s="1"/>
      <c r="B16" s="4" t="s">
        <v>165</v>
      </c>
      <c r="C16" s="4" t="s">
        <v>166</v>
      </c>
      <c r="D16" s="13" t="s">
        <v>167</v>
      </c>
      <c r="E16" s="13" t="s">
        <v>168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3">
    <mergeCell ref="B2:J2"/>
    <mergeCell ref="B3:J3"/>
    <mergeCell ref="B11:I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8C8D"/>
  </sheetPr>
  <dimension ref="A1:Q100"/>
  <sheetViews>
    <sheetView showGridLines="0" workbookViewId="0">
      <selection activeCell="C8" sqref="C8:C13"/>
    </sheetView>
  </sheetViews>
  <sheetFormatPr baseColWidth="10" defaultColWidth="8.6640625" defaultRowHeight="14"/>
  <cols>
    <col min="1" max="1" width="8.6640625" style="2"/>
    <col min="2" max="2" width="27" style="2" customWidth="1"/>
    <col min="3" max="3" width="95" style="2" customWidth="1"/>
    <col min="4" max="16384" width="8.6640625" style="2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8" customHeight="1">
      <c r="A2" s="1"/>
      <c r="B2" s="16" t="s">
        <v>169</v>
      </c>
      <c r="C2" s="16"/>
      <c r="D2" s="16"/>
      <c r="E2" s="16"/>
      <c r="F2" s="16"/>
      <c r="G2" s="16"/>
      <c r="H2" s="16"/>
      <c r="I2" s="16"/>
      <c r="J2" s="16"/>
      <c r="K2" s="1"/>
      <c r="L2" s="1"/>
      <c r="M2" s="1"/>
      <c r="N2" s="1"/>
      <c r="O2" s="1"/>
      <c r="P2" s="1"/>
      <c r="Q2" s="1"/>
    </row>
    <row r="3" spans="1:1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7" t="s">
        <v>170</v>
      </c>
      <c r="C4" s="17"/>
      <c r="D4" s="17"/>
      <c r="E4" s="17"/>
      <c r="F4" s="17"/>
      <c r="G4" s="17"/>
      <c r="H4" s="17"/>
      <c r="I4" s="17"/>
      <c r="J4" s="17"/>
      <c r="K4" s="1"/>
      <c r="L4" s="1"/>
      <c r="M4" s="1"/>
      <c r="N4" s="1"/>
      <c r="O4" s="1"/>
      <c r="P4" s="1"/>
      <c r="Q4" s="1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2" customHeight="1">
      <c r="A6" s="1"/>
      <c r="B6" s="18" t="s">
        <v>171</v>
      </c>
      <c r="C6" s="18"/>
      <c r="D6" s="18"/>
      <c r="E6" s="18"/>
      <c r="F6" s="18"/>
      <c r="G6" s="18"/>
      <c r="H6" s="18"/>
      <c r="I6" s="18"/>
      <c r="J6" s="18"/>
      <c r="K6" s="1"/>
      <c r="L6" s="1"/>
      <c r="M6" s="1"/>
      <c r="N6" s="1"/>
      <c r="O6" s="1"/>
      <c r="P6" s="1"/>
      <c r="Q6" s="1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34" customHeight="1">
      <c r="A8" s="1"/>
      <c r="B8" s="3" t="s">
        <v>172</v>
      </c>
      <c r="C8" s="13" t="s">
        <v>173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34" customHeight="1">
      <c r="A9" s="1"/>
      <c r="B9" s="3" t="s">
        <v>174</v>
      </c>
      <c r="C9" s="13" t="s">
        <v>175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34" customHeight="1">
      <c r="A10" s="1"/>
      <c r="B10" s="3" t="s">
        <v>176</v>
      </c>
      <c r="C10" s="13" t="s">
        <v>177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34" customHeight="1">
      <c r="A11" s="1"/>
      <c r="B11" s="3" t="s">
        <v>178</v>
      </c>
      <c r="C11" s="13" t="s">
        <v>179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34" customHeight="1">
      <c r="A12" s="1"/>
      <c r="B12" s="3" t="s">
        <v>180</v>
      </c>
      <c r="C12" s="13" t="s">
        <v>181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34" customHeight="1">
      <c r="A13" s="1"/>
      <c r="B13" s="3" t="s">
        <v>182</v>
      </c>
      <c r="C13" s="13" t="s">
        <v>183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2" customHeight="1">
      <c r="A16" s="1"/>
      <c r="B16" s="18" t="s">
        <v>184</v>
      </c>
      <c r="C16" s="18"/>
      <c r="D16" s="18"/>
      <c r="E16" s="18"/>
      <c r="F16" s="18"/>
      <c r="G16" s="18"/>
      <c r="H16" s="18"/>
      <c r="I16" s="18"/>
      <c r="J16" s="18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9" t="s">
        <v>185</v>
      </c>
      <c r="C18" s="19"/>
      <c r="D18" s="19"/>
      <c r="E18" s="19"/>
      <c r="F18" s="19"/>
      <c r="G18" s="19"/>
      <c r="H18" s="19"/>
      <c r="I18" s="19"/>
      <c r="J18" s="19"/>
      <c r="K18" s="1"/>
      <c r="L18" s="1"/>
      <c r="M18" s="1"/>
      <c r="N18" s="1"/>
      <c r="O18" s="1"/>
      <c r="P18" s="1"/>
      <c r="Q18" s="1"/>
    </row>
    <row r="19" spans="1:17">
      <c r="A19" s="1"/>
      <c r="B19" s="19" t="s">
        <v>186</v>
      </c>
      <c r="C19" s="19"/>
      <c r="D19" s="19"/>
      <c r="E19" s="19"/>
      <c r="F19" s="19"/>
      <c r="G19" s="19"/>
      <c r="H19" s="19"/>
      <c r="I19" s="19"/>
      <c r="J19" s="19"/>
      <c r="K19" s="1"/>
      <c r="L19" s="1"/>
      <c r="M19" s="1"/>
      <c r="N19" s="1"/>
      <c r="O19" s="1"/>
      <c r="P19" s="1"/>
      <c r="Q19" s="1"/>
    </row>
    <row r="20" spans="1:17">
      <c r="A20" s="1"/>
      <c r="B20" s="19" t="s">
        <v>187</v>
      </c>
      <c r="C20" s="19"/>
      <c r="D20" s="19"/>
      <c r="E20" s="19"/>
      <c r="F20" s="19"/>
      <c r="G20" s="19"/>
      <c r="H20" s="19"/>
      <c r="I20" s="19"/>
      <c r="J20" s="19"/>
      <c r="K20" s="1"/>
      <c r="L20" s="1"/>
      <c r="M20" s="1"/>
      <c r="N20" s="1"/>
      <c r="O20" s="1"/>
      <c r="P20" s="1"/>
      <c r="Q20" s="1"/>
    </row>
    <row r="21" spans="1:17">
      <c r="A21" s="1"/>
      <c r="B21" s="19" t="s">
        <v>188</v>
      </c>
      <c r="C21" s="19"/>
      <c r="D21" s="19"/>
      <c r="E21" s="19"/>
      <c r="F21" s="19"/>
      <c r="G21" s="19"/>
      <c r="H21" s="19"/>
      <c r="I21" s="19"/>
      <c r="J21" s="19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8">
    <mergeCell ref="B19:J19"/>
    <mergeCell ref="B20:J20"/>
    <mergeCell ref="B21:J21"/>
    <mergeCell ref="B2:J2"/>
    <mergeCell ref="B4:J4"/>
    <mergeCell ref="B6:J6"/>
    <mergeCell ref="B16:J16"/>
    <mergeCell ref="B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de bord</vt:lpstr>
      <vt:lpstr>Projets</vt:lpstr>
      <vt:lpstr>Portefeuilles</vt:lpstr>
      <vt:lpstr>Sensibilite</vt:lpstr>
      <vt:lpstr>Guide de lecture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ABOUFARASSE</dc:creator>
  <cp:lastModifiedBy>ABOUFARASSE</cp:lastModifiedBy>
  <dcterms:created xsi:type="dcterms:W3CDTF">2026-09-26T20:42:15Z</dcterms:created>
  <dcterms:modified xsi:type="dcterms:W3CDTF">2026-09-26T20:42:15Z</dcterms:modified>
</cp:coreProperties>
</file>